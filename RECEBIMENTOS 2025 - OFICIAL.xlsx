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G:\Meu Drive\1. EDER\4. IRPF\2025\3.LIVRO CAIXA IRPF\"/>
    </mc:Choice>
  </mc:AlternateContent>
  <xr:revisionPtr revIDLastSave="0" documentId="13_ncr:1_{5D6D3CA2-F2F6-4D93-9C67-1C67D0210528}" xr6:coauthVersionLast="47" xr6:coauthVersionMax="47" xr10:uidLastSave="{00000000-0000-0000-0000-000000000000}"/>
  <bookViews>
    <workbookView xWindow="28692" yWindow="-108" windowWidth="23256" windowHeight="12456" xr2:uid="{00000000-000D-0000-FFFF-FFFF00000000}"/>
  </bookViews>
  <sheets>
    <sheet name="RECEBIMENTOS 2025" sheetId="4" r:id="rId1"/>
  </sheets>
  <definedNames>
    <definedName name="_xlnm._FilterDatabase" localSheetId="0" hidden="1">'RECEBIMENTOS 2025'!$A$1:$H$254</definedName>
  </definedNames>
  <calcPr calcId="191029"/>
</workbook>
</file>

<file path=xl/calcChain.xml><?xml version="1.0" encoding="utf-8"?>
<calcChain xmlns="http://schemas.openxmlformats.org/spreadsheetml/2006/main">
  <c r="G78" i="4" l="1"/>
  <c r="C15" i="4" l="1"/>
  <c r="C256" i="4" s="1"/>
</calcChain>
</file>

<file path=xl/sharedStrings.xml><?xml version="1.0" encoding="utf-8"?>
<sst xmlns="http://schemas.openxmlformats.org/spreadsheetml/2006/main" count="836" uniqueCount="331">
  <si>
    <t>CPF</t>
  </si>
  <si>
    <t>NOME</t>
  </si>
  <si>
    <t>VALOR</t>
  </si>
  <si>
    <t>ADOLFO DA COSTA ROSA</t>
  </si>
  <si>
    <t>ADRIANO JOSE CARNEIRO</t>
  </si>
  <si>
    <t>ALEXANDRA DE SOUSA DIAS FERNANDES</t>
  </si>
  <si>
    <t>ALEXANDRE RODRIGUES PIMENTEL</t>
  </si>
  <si>
    <t>ALINE DE SOUSA BRITO</t>
  </si>
  <si>
    <t>ALINE DIAS MARTINS</t>
  </si>
  <si>
    <t>AMELIA COSTA ARAUJO FRANCO</t>
  </si>
  <si>
    <t>ANA MARCIA ALVES DA SILVA RIBEIRO</t>
  </si>
  <si>
    <t>ANA PAULA CUNHA PONCE AMARAL</t>
  </si>
  <si>
    <t>ANA PAULA DE MORAES</t>
  </si>
  <si>
    <t>ANA PAULA NUNES DA SILVA MARINELLI</t>
  </si>
  <si>
    <t>ANDERSON AFONSO DE FARIA</t>
  </si>
  <si>
    <t>ANDERSON ALEX AURELIANO</t>
  </si>
  <si>
    <t>ANDERSON AVOZANI SCHEMBERG</t>
  </si>
  <si>
    <t>ANDRE GARCIA TOMAZ</t>
  </si>
  <si>
    <t>ANDRE THIAGO DE ALMEIDA BARZ</t>
  </si>
  <si>
    <t>ANDREIA BARBALHA DE SOUSA DE CARVALHO</t>
  </si>
  <si>
    <t>ANICQUERSON AFONSO RESENDE</t>
  </si>
  <si>
    <t>ANTONIO CELSO FERREIRA FONSECA</t>
  </si>
  <si>
    <t>ANTONIO EDUARDO GOMES FERNANDEZ</t>
  </si>
  <si>
    <t>ANTONIO FERREIRA DA SILVA</t>
  </si>
  <si>
    <t>ANTONIO HENRIQUE PEREIRA DE MACEDO</t>
  </si>
  <si>
    <t>ARLEIA RODRIGUES DE OLIVEIRA</t>
  </si>
  <si>
    <t>ARTHUR REIS BASTOS</t>
  </si>
  <si>
    <t>BENTO BANDEIRA</t>
  </si>
  <si>
    <t>BRUNA CUNHA DE MELLO</t>
  </si>
  <si>
    <t>BRUNO GODOY RODRIGUES</t>
  </si>
  <si>
    <t>CAMILA EVANGELISTA DE ANDRADE</t>
  </si>
  <si>
    <t>CARLA BEATRIZ VIEIRA BATISTA AMARAL</t>
  </si>
  <si>
    <t>CARLOS EDUARDO ASCOLI SILVA</t>
  </si>
  <si>
    <t>CLEOMAR RODRIGUES ALVARENGA</t>
  </si>
  <si>
    <t>CRISTIANE DE SOUZA SENA AURELIANO</t>
  </si>
  <si>
    <t>CRISTIANE RODRIGUES LEMES</t>
  </si>
  <si>
    <t>DANIEL FERREIRA DA SILVA</t>
  </si>
  <si>
    <t>DANIEL WESLLEY SILVA DOS SANTOS</t>
  </si>
  <si>
    <t>DANIELLY ARANHA SOARES</t>
  </si>
  <si>
    <t>DANILO FLAVIO MACEDO MENEZES</t>
  </si>
  <si>
    <t>DARCI DE MORAIS CARREIRA</t>
  </si>
  <si>
    <t>DARIO MARTINS FERREIRA</t>
  </si>
  <si>
    <t>DENISE DE LIMA RAMOS</t>
  </si>
  <si>
    <t>DIOGENES ROSA DE FREITAS JUNIOR</t>
  </si>
  <si>
    <t>DIOGO DE SOUZA FREITAS</t>
  </si>
  <si>
    <t>DOLORES FRIAS LIMA</t>
  </si>
  <si>
    <t>DOUGLAS ALBINO MAGALHAES RABELO</t>
  </si>
  <si>
    <t>EDER GOMES FLEURY</t>
  </si>
  <si>
    <t>EDIMAR RUELA DA SILVA</t>
  </si>
  <si>
    <t>EDUARDO GABRIEL GRAZZIOTIN</t>
  </si>
  <si>
    <t>ELAINY APARECIDA DA LUZ PONCIANO</t>
  </si>
  <si>
    <t>ELIENE LOPES MARTINS</t>
  </si>
  <si>
    <t>ELISA DANIELE ROSA</t>
  </si>
  <si>
    <t>ELISABETE VIEIRA DE MEDEIROS MACHADO</t>
  </si>
  <si>
    <t>ELISANDRO DA CUNHA SOUSA</t>
  </si>
  <si>
    <t>ELVIS BRUNO SIQUEIRA SANTOS</t>
  </si>
  <si>
    <t>EMANOEL ALVES DA SILVEIRA</t>
  </si>
  <si>
    <t>EMMANUELLE ALKMIM DE CASTRO BRANCO</t>
  </si>
  <si>
    <t>EULER DA COSTA RAMOS</t>
  </si>
  <si>
    <t>EVELYNE ARAUJO FRANCO</t>
  </si>
  <si>
    <t>FABIANO MOREIRA REIS</t>
  </si>
  <si>
    <t>FABIO GARCIA CARREIRA</t>
  </si>
  <si>
    <t>FABRICIO GARCIA PRICIOTTI</t>
  </si>
  <si>
    <t>FAUSTO LOPES TRINDADE</t>
  </si>
  <si>
    <t>FERNANDO DA COSTA JUNQUEIRA</t>
  </si>
  <si>
    <t>FLAVIA VIVIANE RODRIGUES DE SALES</t>
  </si>
  <si>
    <t>GABRIEL CUNHA DE MELLO</t>
  </si>
  <si>
    <t>GABRIEL FRANCO DE CASTRO</t>
  </si>
  <si>
    <t>GEOVANA EVANGELISTA DE FREITAS</t>
  </si>
  <si>
    <t>GILBERTO GOMES FREIRE</t>
  </si>
  <si>
    <t>GILDA DA MOTA BASTOS</t>
  </si>
  <si>
    <t>GILSON GERALDO VALERIO DO AMARAL</t>
  </si>
  <si>
    <t>GRAZIELLE SANTOS FERRO PIRES SCHEMBERG</t>
  </si>
  <si>
    <t>GUILHERME AFONSO DOS ANJOS RESENDE</t>
  </si>
  <si>
    <t>GUSTAVO GODOY RODRIGUES</t>
  </si>
  <si>
    <t>HALESON VIEIRA DA SILVA</t>
  </si>
  <si>
    <t>HENE SAUD ANTURIANO</t>
  </si>
  <si>
    <t>HUGO MADALENA MOTTA</t>
  </si>
  <si>
    <t>JACILENE MARIA DOS ANJOS RESENDE</t>
  </si>
  <si>
    <t>JADSON DOMINGOS DA CRUZ SILVA</t>
  </si>
  <si>
    <t>JAFE TORRES JUNIOR</t>
  </si>
  <si>
    <t>JAIME APARECIDO GOMES FREIRE</t>
  </si>
  <si>
    <t>JAMIL DE SENA NUNES JUNIOR</t>
  </si>
  <si>
    <t>JANINE OLIVEIRA DE PAULA</t>
  </si>
  <si>
    <t>JOAO FRANCISCO REBOCHO NANITAS</t>
  </si>
  <si>
    <t>JOAO PAULO PROTASIO MUSSE</t>
  </si>
  <si>
    <t>JOAO PEDRO GUANAES FERREIRA</t>
  </si>
  <si>
    <t>JOSE WILLIAM CARNEIRO DE OLIVEIRA</t>
  </si>
  <si>
    <t>JOSILENE RODRIGUES SANTOS</t>
  </si>
  <si>
    <t>JULIANA CRISTINA COSTA DE SOUZA</t>
  </si>
  <si>
    <t>JULIO CESAR ALVES SOUZA</t>
  </si>
  <si>
    <t>JUSSARA COSTA DE SOUZA PINA</t>
  </si>
  <si>
    <t>LAIDISLAINE CAETANO FERREIRA SILVEIRA</t>
  </si>
  <si>
    <t>LAIZA LEITE ANTONELLI</t>
  </si>
  <si>
    <t>LANDIA MARIA LOURENCO WATANABE</t>
  </si>
  <si>
    <t>LARISSA DE PAIVA DAHER ROMANO FRANCA</t>
  </si>
  <si>
    <t>LARISSA GRACIELLI FRANCO DE FREITAS</t>
  </si>
  <si>
    <t>LELIA DE FATIMA BRUNO SENA</t>
  </si>
  <si>
    <t>LENIA MARIA ARANHA DE MACEDO</t>
  </si>
  <si>
    <t>LEONARDO DA SILVA PIRES</t>
  </si>
  <si>
    <t>LEONARDO DAVID AMARAL</t>
  </si>
  <si>
    <t>LEONARDO RIBEIRO MONTEIRO BELEM</t>
  </si>
  <si>
    <t>LEONARDO RODRIGUES GARCIA</t>
  </si>
  <si>
    <t>LETICIA BOCKI TRISTAO ALVARENGA</t>
  </si>
  <si>
    <t>LORENA VALLENTINI ROSSI</t>
  </si>
  <si>
    <t>LUANNA PEREIRA SILVA</t>
  </si>
  <si>
    <t>LUCAS ANTONIO DE MORAIS GOMES</t>
  </si>
  <si>
    <t>LUCAS GABRIEL FERREIRA DE ALEXANDRIA</t>
  </si>
  <si>
    <t>LUCIA MARIA ARANHA SOARES</t>
  </si>
  <si>
    <t>LUCIANA DUARTE MOREIRA</t>
  </si>
  <si>
    <t>LUIZ HENRIQUE FERNANDES SILVA</t>
  </si>
  <si>
    <t>LUIZA MARILLAC SENA</t>
  </si>
  <si>
    <t>LYW KONDRATIEVA NAZARETH BORGES</t>
  </si>
  <si>
    <t>MAFALDA PAZ ESTEVES FERREIRA FONSECA</t>
  </si>
  <si>
    <t>MAGDA DE SOUZA FERREIRA</t>
  </si>
  <si>
    <t>MAIKOW MARTHIELLO DHUNIOR FERNANDES DA SILVA BORGES</t>
  </si>
  <si>
    <t>MANOEL SEVERINO DE LUNA</t>
  </si>
  <si>
    <t>MARCELO COZAC MOURA</t>
  </si>
  <si>
    <t>MARCIO CLAUDIO ROSA</t>
  </si>
  <si>
    <t>MARCIO DAVID RODRIGUES DA SILVA</t>
  </si>
  <si>
    <t>MARCUS VINICIUS RODRIGUES DE OLIVEIRA</t>
  </si>
  <si>
    <t>MARIA CRISTINA DE SOUZA LEMOS MONTEIRO</t>
  </si>
  <si>
    <t>MARIA EUNICE DOS SANTOS</t>
  </si>
  <si>
    <t>MARIA GONCALVES VIEIRA AFONSO</t>
  </si>
  <si>
    <t>MARIA LUIZA TREZZE PINHEIRO</t>
  </si>
  <si>
    <t>MARIA REGINA DA SILVA</t>
  </si>
  <si>
    <t>MARIANICE JOSE RIBEIRO DOS REIS</t>
  </si>
  <si>
    <t>MARLUCIA DE SOUSA RODRIGUES</t>
  </si>
  <si>
    <t>MATHEUS MOREIRA LIMA</t>
  </si>
  <si>
    <t>MAX HENRIQUE ARANHA DE MACEDO</t>
  </si>
  <si>
    <t>MAX JANNEDES OLIVEIRA SANTIAGO</t>
  </si>
  <si>
    <t>MICHELLI MIGUEL DE FREITAS</t>
  </si>
  <si>
    <t>MILENA BASTOS CISNEIRO ROCHA</t>
  </si>
  <si>
    <t>MOZART SILVA ROCHA</t>
  </si>
  <si>
    <t>NANCY ESPERANCA LOPES</t>
  </si>
  <si>
    <t>NELCI PEREIRA FERREIRA</t>
  </si>
  <si>
    <t>NILTON RODRIGUES DE CARVALHO</t>
  </si>
  <si>
    <t>NIVALDO SEVERINO CUNHA</t>
  </si>
  <si>
    <t>OLVAIR MACHADO</t>
  </si>
  <si>
    <t>OSVALDO MACHADO</t>
  </si>
  <si>
    <t>PATRICIA LUCAS DOS SANTOS</t>
  </si>
  <si>
    <t>PAULO JOSE FLEURY DO NASCIMENTO</t>
  </si>
  <si>
    <t>PAULO OTAVIO DE SOUZA ALMEIDA</t>
  </si>
  <si>
    <t>PAULO ROBERTO DA SILVA</t>
  </si>
  <si>
    <t>PAULO SERGIO HERNANDO</t>
  </si>
  <si>
    <t>PAULO SERGIO RIBEIRO DA SILVA</t>
  </si>
  <si>
    <t>PEDRO AUGUSTO GONTIJO RAMOS</t>
  </si>
  <si>
    <t>PHAUER JUNIO EUGENIO GONCALVES</t>
  </si>
  <si>
    <t>PRISCILLA PAZ ESTEVES FERREIRA FONSECA</t>
  </si>
  <si>
    <t>RAFAEL DE ALMEIDA BARZ</t>
  </si>
  <si>
    <t>RAFAEL VILELA CAMPOS</t>
  </si>
  <si>
    <t>RAIMUNDO FRANCISCO DA SILVA</t>
  </si>
  <si>
    <t>RAIZA RABELO MIGUEL</t>
  </si>
  <si>
    <t>RAPHAEL PIRES PONCIANO</t>
  </si>
  <si>
    <t>REGINA CELIA DOS SANTOS PIRES</t>
  </si>
  <si>
    <t>RELPHLA GRACIELLE FREITAS BARBOSA SANTOS</t>
  </si>
  <si>
    <t>RENATO PEREIRA DE JESUS</t>
  </si>
  <si>
    <t>RENATO RODRIGUES PIMENTEL</t>
  </si>
  <si>
    <t>RENZO BELIZARIO DE FREITAS</t>
  </si>
  <si>
    <t>RIVANILDO RODRIGUES DOS SANTOS</t>
  </si>
  <si>
    <t>ROBERTO CESAR LOPES FAIOLLA</t>
  </si>
  <si>
    <t>ROBERTO MOREIRA DOS SANTOS</t>
  </si>
  <si>
    <t>RODRIGO GUIMARAES TEIXEIRA</t>
  </si>
  <si>
    <t>RODRIGO SANTOS REZENDE</t>
  </si>
  <si>
    <t>ROGERIO TRISTAO</t>
  </si>
  <si>
    <t>RONIEL JUSTINO DE FREITAS</t>
  </si>
  <si>
    <t>ROSANE LUCY LOPES FAIOLLA</t>
  </si>
  <si>
    <t>SAMUEL DE SOUZA CALVAO</t>
  </si>
  <si>
    <t>SAMUEL FERREIRA DA SILVA</t>
  </si>
  <si>
    <t>SETUO WATANABE</t>
  </si>
  <si>
    <t>SETUO WATANABE JUNIOR</t>
  </si>
  <si>
    <t>SILVANA EVANGELISTA DE SOUSA</t>
  </si>
  <si>
    <t>SILVINO CARLOS BORGES</t>
  </si>
  <si>
    <t>SILVIO AFONSO</t>
  </si>
  <si>
    <t>SONIA APARECIA DE OLIVEIRA</t>
  </si>
  <si>
    <t>SUEIDY DOS SANTOS BARBOSA DA SILVA PIRES</t>
  </si>
  <si>
    <t>SUSANA CARMOSITA FALCAO TORRES</t>
  </si>
  <si>
    <t>TACITO AUGUSTO RODRIGUES DE FREITAS</t>
  </si>
  <si>
    <t>TAGORE ROBERT DO AMARAL FILHO</t>
  </si>
  <si>
    <t>TAICY MARQUES DA SILVA</t>
  </si>
  <si>
    <t>TANIA MARIA ALVES MARTINS REBOCHO NANITAS</t>
  </si>
  <si>
    <t>THYALLITA RIBEIRO DE SOUZA</t>
  </si>
  <si>
    <t>VALERIA CRISTIANE MARQUES DO NASCIMENTO</t>
  </si>
  <si>
    <t>VANELY INACIO ABADIA</t>
  </si>
  <si>
    <t>VERONILDE COELHO DE SOUZA FERREIRA</t>
  </si>
  <si>
    <t>VIRGINIA DE OLIVEIRA SANTIAGO MACEDO</t>
  </si>
  <si>
    <t>VIVIAN NASCIMENTO RIBEIRO</t>
  </si>
  <si>
    <t>WALERIA CHRYSTINA ARTIAGA PROCOPIO</t>
  </si>
  <si>
    <t>WASHINGTON LUIZ COSTA</t>
  </si>
  <si>
    <t>WENDERLEY MARCELO DE SOUZA</t>
  </si>
  <si>
    <t>WILDE SILVA DE PAULA</t>
  </si>
  <si>
    <t>WILLIAN COSTA DA SILVA</t>
  </si>
  <si>
    <t>100,00 IRPF + 100,00 MEI</t>
  </si>
  <si>
    <t>HONORARIO</t>
  </si>
  <si>
    <t>PRO BONO</t>
  </si>
  <si>
    <t>PERMUTA</t>
  </si>
  <si>
    <t>WASHINGTON SANTA FE</t>
  </si>
  <si>
    <t>SAFETY</t>
  </si>
  <si>
    <t>EDER</t>
  </si>
  <si>
    <t>PORCO</t>
  </si>
  <si>
    <t>MICHELE</t>
  </si>
  <si>
    <t>100 IRPF + 100 MEI</t>
  </si>
  <si>
    <t>SIQUEIRA E FREITAS</t>
  </si>
  <si>
    <t>VIVIAN</t>
  </si>
  <si>
    <t>CALCULADORA</t>
  </si>
  <si>
    <t>COBRAR</t>
  </si>
  <si>
    <t>LUIZ</t>
  </si>
  <si>
    <t>3 DECLARAÇÃO + CALCULADORA</t>
  </si>
  <si>
    <t>A E B</t>
  </si>
  <si>
    <t>ADEMAR</t>
  </si>
  <si>
    <t>ESCRITORIO</t>
  </si>
  <si>
    <t>MEI MARIDO</t>
  </si>
  <si>
    <t>MARIDO DA ALEXANDRA FONO</t>
  </si>
  <si>
    <t>NOVA ALTERNATIVA</t>
  </si>
  <si>
    <t>200 IRPF 100 MEI</t>
  </si>
  <si>
    <t>PRIVILLEGE</t>
  </si>
  <si>
    <t>STATUS</t>
  </si>
  <si>
    <t>PIX</t>
  </si>
  <si>
    <t>DATA PAGTO</t>
  </si>
  <si>
    <t>RUI BANDEIRA</t>
  </si>
  <si>
    <t>ESPOLIO</t>
  </si>
  <si>
    <t>CAMILLA CASSIANO A F ALVES</t>
  </si>
  <si>
    <t>MARA LOULI MESQUITA</t>
  </si>
  <si>
    <t>GABRIEL VIEIRA GONÇALVES GONZAGA</t>
  </si>
  <si>
    <t>SILVIA ALVES DE SOUSA</t>
  </si>
  <si>
    <t>150 IRPF + 100 MEI</t>
  </si>
  <si>
    <t>NELSON ANTONIO MARINELLI</t>
  </si>
  <si>
    <t>LUIS PHERNANDO MARINELLI</t>
  </si>
  <si>
    <t>VALTER GERALDO DO PRADO</t>
  </si>
  <si>
    <t>RAFAEL GIL SILVANO</t>
  </si>
  <si>
    <t>DANILZA BISPO NEVES LUDOVIDO CURADO</t>
  </si>
  <si>
    <t>GUILHERME WELINGTON BORGES DE LIMA</t>
  </si>
  <si>
    <t>IRPF + MEI</t>
  </si>
  <si>
    <t>NIVALDO DAVID FERREIRA FILHO</t>
  </si>
  <si>
    <t>MURILO MARTINS HANNUM</t>
  </si>
  <si>
    <t>A PAGAR</t>
  </si>
  <si>
    <t>VANCICLEIA ALVES SIMÕES</t>
  </si>
  <si>
    <t>ESCARLETE ALVES DE VASCONCELOS</t>
  </si>
  <si>
    <t>CLARA MOREIRA LIMA</t>
  </si>
  <si>
    <t>FELIPE AUGUSTO GASTALDON RIOS</t>
  </si>
  <si>
    <t>GILBERT MACEDO LOBO</t>
  </si>
  <si>
    <t>HELIO PEREIRA BARRETO JUNIOR</t>
  </si>
  <si>
    <t>JOAO PAULO DOS SANTOS</t>
  </si>
  <si>
    <t>JOSE AELCO GOMES PARREIRA</t>
  </si>
  <si>
    <t>KENNYA CHRISTIANY CAVALCANTE LEIGUE</t>
  </si>
  <si>
    <t>LARA CAROLINE SOARES FREITAS</t>
  </si>
  <si>
    <t>LUIZ FERNANDO SANTOS DE OLIVEIRA</t>
  </si>
  <si>
    <t>MATHEUS FILIPE PEREIRA DOS SANTOS</t>
  </si>
  <si>
    <t>RODRIGO MEDEIROS DE ALMEIDA LIMA</t>
  </si>
  <si>
    <t>SOFIA SANTIAGO HAONAT MACEDO</t>
  </si>
  <si>
    <t>TEREZINHA DANTAS DE SOUSA</t>
  </si>
  <si>
    <t>VALTER SOARES DOS SANTOS</t>
  </si>
  <si>
    <t>VITOR XAVIER DE OLIVEIRA NETO</t>
  </si>
  <si>
    <t>WALTERMIR XAVIER DE SOUSA</t>
  </si>
  <si>
    <t>WILKER SILVA DE PAULA</t>
  </si>
  <si>
    <t>PROCURADOR</t>
  </si>
  <si>
    <t>OBS</t>
  </si>
  <si>
    <t>OBS EMPRESA</t>
  </si>
  <si>
    <t>REVENDA VIVA</t>
  </si>
  <si>
    <t xml:space="preserve"> </t>
  </si>
  <si>
    <t>DEPOSITO LOTERIA</t>
  </si>
  <si>
    <t>MEI E PARCELAMENTO</t>
  </si>
  <si>
    <t>2 PARCELAS PAGOU 350,00 EM 25/05 + 350,00 em 05/07</t>
  </si>
  <si>
    <t>EDI MARIA DA SILVA</t>
  </si>
  <si>
    <t>TRANSFERENCIA POUPANÇA</t>
  </si>
  <si>
    <t>FIZ GANHO DE CAPITAL EM 2024 - ERA 250,00 VIROU 350,00</t>
  </si>
  <si>
    <t>MARIA CLARA GODINHO PEREIRA BURITISAL</t>
  </si>
  <si>
    <t xml:space="preserve">PIX </t>
  </si>
  <si>
    <t xml:space="preserve">VICTORIA DIAS CARLOS DOS SANTOS </t>
  </si>
  <si>
    <t>ESPOSA GABRIEL FILHO JOSE ANTONIO</t>
  </si>
  <si>
    <t>CLIENTE INDICAÇÃO VIRGINIA</t>
  </si>
  <si>
    <t>INDICAÇÃO RAIMUNDO ELETRICISTA</t>
  </si>
  <si>
    <t>FEZ A DECLARAÇÃO E DEI ENTRADA COM O DINHEIRO DA ALTERAÇÃO DE CONTRATO</t>
  </si>
  <si>
    <t>LIVRO CAIXA</t>
  </si>
  <si>
    <t>RESTITUIÇÃO DIMINUIU POR ISSO VALOR MAIS BAIXO</t>
  </si>
  <si>
    <t>FRANCISCO RODRIGUES DA SILVA FILHO</t>
  </si>
  <si>
    <t>RETIFICAÇÃO DE 2024 DE DESPESAS MEDICAS E GANHEI EM CIMA DA RETIFICAÇÃO</t>
  </si>
  <si>
    <t>JOVEN RODRIGUES DE SOUZA JUNIOR</t>
  </si>
  <si>
    <t>RAFAELA DOMINGOS NASCIMENTO SOUZA</t>
  </si>
  <si>
    <t>DINHEIRO</t>
  </si>
  <si>
    <t>VINICIUS DA SILVA OLIVEIRA</t>
  </si>
  <si>
    <t>INDICAÇÃO MARCELO COZAC</t>
  </si>
  <si>
    <t>SANDRIELLE DE SOUSA LOPES COSTA</t>
  </si>
  <si>
    <t>KEANE CINTRA SOUSA PIRES</t>
  </si>
  <si>
    <t xml:space="preserve">CAMILA GONÇALVES ALVES </t>
  </si>
  <si>
    <t>INDICAÇÃO EDUARDO IRMÃ PARK PRIVILLEGE</t>
  </si>
  <si>
    <t>BRUNO MAMEDE DE QUEIROZ</t>
  </si>
  <si>
    <t>LINDOMAR APRIGIO DIAS</t>
  </si>
  <si>
    <t>MARIDO JOSILENE PARK PRIVILLEGE + MEI</t>
  </si>
  <si>
    <t>LORRANA DA SILVA PEREIRA</t>
  </si>
  <si>
    <t>L DA SILVA PEREIRA - MARCOS</t>
  </si>
  <si>
    <t>REGIANE ROSA DE CASTRO</t>
  </si>
  <si>
    <t>RR CASTRO - MARCOS</t>
  </si>
  <si>
    <t>ROGERIO CARDOSO DE CASTRO</t>
  </si>
  <si>
    <t>PORTIS - MARCOS</t>
  </si>
  <si>
    <t>DONIZETH QUEIROZ DA SILVA</t>
  </si>
  <si>
    <t>RAHNIX MAMEDE SOARES QUEIROZ</t>
  </si>
  <si>
    <t>JESSICA HELLENA CANDINE GRAZZIOTIN</t>
  </si>
  <si>
    <t>SILVIO AFONSO JUNIOR</t>
  </si>
  <si>
    <t>INDICAÇÃO LORIMAR ADVOGADA + MEI</t>
  </si>
  <si>
    <t>R$ 132,00 bonus renda extra</t>
  </si>
  <si>
    <t>IRPF</t>
  </si>
  <si>
    <t>CARLOS MARTINS DOS SANTOS</t>
  </si>
  <si>
    <t>MUCIO HENRIQUE NASCIMENTO</t>
  </si>
  <si>
    <t>INDICAÇÃO MURILO HANNUM</t>
  </si>
  <si>
    <t>LEONARDO CARVALHO DE OLIVEIRA</t>
  </si>
  <si>
    <t>JOSEIANE + MEI + IRPF</t>
  </si>
  <si>
    <t>JOSEANE RODRIGUES FERREIRA</t>
  </si>
  <si>
    <t>RETIFICAÇÃO LEO + IRPF + PARCELAMENTO ARTE ONZE</t>
  </si>
  <si>
    <t>ADHEMAR AUGUSTO VIEIRA MEDEIROS</t>
  </si>
  <si>
    <t>FILHO OLVAIR IRPF 2024/2025</t>
  </si>
  <si>
    <t>LORENA BASTOS DE OLIVEIRA</t>
  </si>
  <si>
    <t>ESPOSA JOSE WILLIAN</t>
  </si>
  <si>
    <t>PAGOU BB</t>
  </si>
  <si>
    <t>RAIELLY TOME MOURA</t>
  </si>
  <si>
    <t>ESPOSA PEDRO CENTRO DE ESTUDOS</t>
  </si>
  <si>
    <t>FABIA PEREIRA DE SÁ</t>
  </si>
  <si>
    <t>NATAL PEREIRA DOS SANTOS</t>
  </si>
  <si>
    <t>MARCIA PIRES DA SILVA</t>
  </si>
  <si>
    <t>INDICAÇÃO LARRISSA SIQUEIRA</t>
  </si>
  <si>
    <t>300 DECLARAÇÃO + 1.000 GANHO DE CAPITAL ECONOMIA</t>
  </si>
  <si>
    <t>RONIVALDO COUTINHO DOS SANTOS</t>
  </si>
  <si>
    <t>RONI - REAL PLUS</t>
  </si>
  <si>
    <t>RECIBO CAMILA</t>
  </si>
  <si>
    <t>PAGOU 2024 E 2025</t>
  </si>
  <si>
    <t>FECHADURA CASA JONATAS</t>
  </si>
  <si>
    <t>MARIA DO SOCORRO DA COSTA RAMOS</t>
  </si>
  <si>
    <t>MÃE DO RAMOS</t>
  </si>
  <si>
    <t>PARCELADO EM  2x PAGOU 600 EM 04/06/2025</t>
  </si>
  <si>
    <t>WELLINGTON MARTINS DE SOUZA</t>
  </si>
  <si>
    <t>MEDICO WMS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</si>
</sst>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00000000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 applyBorder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</cellStyleXfs>
  <cellXfs count="43">
    <xf numFmtId="0" fontId="0" fillId="0" borderId="0" xfId="0"/>
    <xf numFmtId="0" fontId="7" fillId="7" borderId="0" xfId="2" applyFont="1" applyFill="1" applyBorder="1"/>
    <xf numFmtId="44" fontId="7" fillId="7" borderId="0" xfId="1" applyFont="1" applyFill="1" applyBorder="1"/>
    <xf numFmtId="0" fontId="7" fillId="7" borderId="0" xfId="4" applyFont="1" applyFill="1" applyBorder="1"/>
    <xf numFmtId="44" fontId="7" fillId="7" borderId="0" xfId="2" applyNumberFormat="1" applyFont="1" applyFill="1" applyBorder="1"/>
    <xf numFmtId="0" fontId="7" fillId="7" borderId="0" xfId="3" applyFont="1" applyFill="1" applyBorder="1"/>
    <xf numFmtId="44" fontId="7" fillId="7" borderId="0" xfId="3" applyNumberFormat="1" applyFont="1" applyFill="1" applyBorder="1"/>
    <xf numFmtId="44" fontId="7" fillId="7" borderId="0" xfId="4" applyNumberFormat="1" applyFont="1" applyFill="1" applyBorder="1"/>
    <xf numFmtId="0" fontId="6" fillId="6" borderId="0" xfId="0" applyFont="1" applyFill="1" applyBorder="1"/>
    <xf numFmtId="44" fontId="6" fillId="6" borderId="0" xfId="1" applyFont="1" applyFill="1" applyBorder="1"/>
    <xf numFmtId="164" fontId="7" fillId="7" borderId="0" xfId="2" applyNumberFormat="1" applyFont="1" applyFill="1" applyBorder="1"/>
    <xf numFmtId="164" fontId="7" fillId="7" borderId="0" xfId="4" applyNumberFormat="1" applyFont="1" applyFill="1" applyBorder="1"/>
    <xf numFmtId="164" fontId="7" fillId="7" borderId="0" xfId="3" applyNumberFormat="1" applyFont="1" applyFill="1" applyBorder="1"/>
    <xf numFmtId="44" fontId="7" fillId="7" borderId="0" xfId="2" applyNumberFormat="1" applyFont="1" applyFill="1" applyBorder="1" applyAlignment="1">
      <alignment horizontal="center"/>
    </xf>
    <xf numFmtId="44" fontId="7" fillId="7" borderId="0" xfId="4" applyNumberFormat="1" applyFont="1" applyFill="1" applyBorder="1" applyAlignment="1">
      <alignment horizontal="center"/>
    </xf>
    <xf numFmtId="44" fontId="7" fillId="7" borderId="0" xfId="3" applyNumberFormat="1" applyFont="1" applyFill="1" applyBorder="1" applyAlignment="1">
      <alignment horizontal="center"/>
    </xf>
    <xf numFmtId="49" fontId="9" fillId="6" borderId="0" xfId="0" applyNumberFormat="1" applyFont="1" applyFill="1" applyBorder="1"/>
    <xf numFmtId="0" fontId="9" fillId="6" borderId="0" xfId="0" applyFont="1" applyFill="1" applyBorder="1"/>
    <xf numFmtId="44" fontId="9" fillId="6" borderId="0" xfId="1" applyFont="1" applyFill="1" applyBorder="1"/>
    <xf numFmtId="44" fontId="9" fillId="6" borderId="0" xfId="1" applyFont="1" applyFill="1" applyBorder="1" applyAlignment="1">
      <alignment horizontal="center"/>
    </xf>
    <xf numFmtId="44" fontId="7" fillId="7" borderId="0" xfId="1" applyFont="1" applyFill="1" applyBorder="1" applyAlignment="1">
      <alignment horizontal="center"/>
    </xf>
    <xf numFmtId="12" fontId="7" fillId="7" borderId="0" xfId="1" applyNumberFormat="1" applyFont="1" applyFill="1" applyBorder="1" applyAlignment="1">
      <alignment horizontal="center"/>
    </xf>
    <xf numFmtId="164" fontId="8" fillId="7" borderId="0" xfId="5" applyNumberFormat="1" applyFont="1" applyFill="1" applyBorder="1"/>
    <xf numFmtId="0" fontId="8" fillId="7" borderId="0" xfId="5" applyFont="1" applyFill="1" applyBorder="1"/>
    <xf numFmtId="44" fontId="8" fillId="7" borderId="0" xfId="5" applyNumberFormat="1" applyFont="1" applyFill="1" applyBorder="1"/>
    <xf numFmtId="44" fontId="8" fillId="7" borderId="0" xfId="5" applyNumberFormat="1" applyFont="1" applyFill="1" applyBorder="1" applyAlignment="1">
      <alignment horizontal="center"/>
    </xf>
    <xf numFmtId="12" fontId="7" fillId="7" borderId="0" xfId="2" applyNumberFormat="1" applyFont="1" applyFill="1" applyBorder="1" applyAlignment="1">
      <alignment horizontal="center"/>
    </xf>
    <xf numFmtId="164" fontId="7" fillId="6" borderId="0" xfId="2" applyNumberFormat="1" applyFont="1" applyFill="1" applyBorder="1"/>
    <xf numFmtId="0" fontId="7" fillId="6" borderId="0" xfId="2" applyFont="1" applyFill="1" applyBorder="1"/>
    <xf numFmtId="44" fontId="7" fillId="6" borderId="0" xfId="2" applyNumberFormat="1" applyFont="1" applyFill="1" applyBorder="1"/>
    <xf numFmtId="44" fontId="7" fillId="6" borderId="0" xfId="2" applyNumberFormat="1" applyFont="1" applyFill="1" applyBorder="1" applyAlignment="1">
      <alignment horizontal="center"/>
    </xf>
    <xf numFmtId="12" fontId="8" fillId="7" borderId="0" xfId="5" applyNumberFormat="1" applyFont="1" applyFill="1" applyBorder="1" applyAlignment="1">
      <alignment horizontal="center"/>
    </xf>
    <xf numFmtId="164" fontId="6" fillId="6" borderId="0" xfId="0" applyNumberFormat="1" applyFont="1" applyFill="1" applyBorder="1"/>
    <xf numFmtId="44" fontId="6" fillId="6" borderId="0" xfId="1" applyFont="1" applyFill="1" applyBorder="1" applyAlignment="1">
      <alignment horizontal="center"/>
    </xf>
    <xf numFmtId="14" fontId="7" fillId="7" borderId="0" xfId="4" applyNumberFormat="1" applyFont="1" applyFill="1" applyBorder="1" applyAlignment="1">
      <alignment horizontal="center"/>
    </xf>
    <xf numFmtId="14" fontId="7" fillId="7" borderId="0" xfId="2" applyNumberFormat="1" applyFont="1" applyFill="1" applyBorder="1" applyAlignment="1">
      <alignment horizontal="center"/>
    </xf>
    <xf numFmtId="14" fontId="7" fillId="7" borderId="0" xfId="1" applyNumberFormat="1" applyFont="1" applyFill="1" applyBorder="1" applyAlignment="1">
      <alignment horizontal="center"/>
    </xf>
    <xf numFmtId="14" fontId="8" fillId="7" borderId="0" xfId="5" applyNumberFormat="1" applyFont="1" applyFill="1" applyBorder="1" applyAlignment="1">
      <alignment horizontal="center"/>
    </xf>
    <xf numFmtId="14" fontId="7" fillId="6" borderId="0" xfId="2" applyNumberFormat="1" applyFont="1" applyFill="1" applyBorder="1" applyAlignment="1">
      <alignment horizontal="center"/>
    </xf>
    <xf numFmtId="14" fontId="7" fillId="7" borderId="0" xfId="3" applyNumberFormat="1" applyFont="1" applyFill="1" applyBorder="1" applyAlignment="1">
      <alignment horizontal="center"/>
    </xf>
    <xf numFmtId="14" fontId="6" fillId="6" borderId="0" xfId="1" applyNumberFormat="1" applyFont="1" applyFill="1" applyBorder="1" applyAlignment="1">
      <alignment horizontal="center"/>
    </xf>
    <xf numFmtId="0" fontId="6" fillId="8" borderId="0" xfId="0" applyFont="1" applyFill="1" applyBorder="1"/>
    <xf numFmtId="12" fontId="7" fillId="7" borderId="0" xfId="4" applyNumberFormat="1" applyFont="1" applyFill="1" applyBorder="1" applyAlignment="1">
      <alignment horizontal="center"/>
    </xf>
  </cellXfs>
  <cellStyles count="6">
    <cellStyle name="Bom" xfId="2" builtinId="26"/>
    <cellStyle name="Cálculo" xfId="5" builtinId="22"/>
    <cellStyle name="Moeda" xfId="1" builtinId="4"/>
    <cellStyle name="Neutro" xfId="4" builtinId="28"/>
    <cellStyle name="Normal" xfId="0" builtinId="0"/>
    <cellStyle name="Ruim" xfId="3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11B94-0A39-4009-A2BF-DF140262F1EB}">
  <sheetPr filterMode="1">
    <tabColor rgb="FF92D050"/>
  </sheetPr>
  <dimension ref="A1:AX256"/>
  <sheetViews>
    <sheetView tabSelected="1" topLeftCell="A29" zoomScaleNormal="100" workbookViewId="0">
      <selection activeCell="E190" sqref="E190"/>
    </sheetView>
  </sheetViews>
  <sheetFormatPr defaultColWidth="9.109375" defaultRowHeight="14.4" x14ac:dyDescent="0.3"/>
  <cols>
    <col min="1" max="1" width="13.5546875" style="8" bestFit="1" customWidth="1"/>
    <col min="2" max="2" width="57.88671875" style="8" bestFit="1" customWidth="1"/>
    <col min="3" max="3" width="13.33203125" style="9" bestFit="1" customWidth="1"/>
    <col min="4" max="4" width="19.5546875" style="33" bestFit="1" customWidth="1"/>
    <col min="5" max="5" width="16.33203125" style="33" bestFit="1" customWidth="1"/>
    <col min="6" max="6" width="15.88671875" style="8" bestFit="1" customWidth="1"/>
    <col min="7" max="7" width="33.5546875" style="8" customWidth="1"/>
    <col min="8" max="8" width="19.33203125" style="8" bestFit="1" customWidth="1"/>
    <col min="9" max="16384" width="9.109375" style="8"/>
  </cols>
  <sheetData>
    <row r="1" spans="1:8" x14ac:dyDescent="0.3">
      <c r="A1" s="16" t="s">
        <v>0</v>
      </c>
      <c r="B1" s="17" t="s">
        <v>1</v>
      </c>
      <c r="C1" s="18" t="s">
        <v>2</v>
      </c>
      <c r="D1" s="19" t="s">
        <v>216</v>
      </c>
      <c r="E1" s="19" t="s">
        <v>218</v>
      </c>
      <c r="F1" s="17" t="s">
        <v>255</v>
      </c>
      <c r="G1" s="17" t="s">
        <v>256</v>
      </c>
      <c r="H1" s="17" t="s">
        <v>257</v>
      </c>
    </row>
    <row r="2" spans="1:8" s="3" customFormat="1" hidden="1" x14ac:dyDescent="0.3">
      <c r="A2" s="11">
        <v>58691936215</v>
      </c>
      <c r="B2" s="3" t="s">
        <v>3</v>
      </c>
      <c r="C2" s="7">
        <v>100</v>
      </c>
      <c r="D2" s="14" t="s">
        <v>217</v>
      </c>
      <c r="E2" s="34">
        <v>45811</v>
      </c>
      <c r="F2" s="3" t="s">
        <v>198</v>
      </c>
      <c r="G2" s="3" t="s">
        <v>192</v>
      </c>
    </row>
    <row r="3" spans="1:8" s="1" customFormat="1" hidden="1" x14ac:dyDescent="0.3">
      <c r="A3" s="10">
        <v>80321925149</v>
      </c>
      <c r="B3" s="1" t="s">
        <v>4</v>
      </c>
      <c r="C3" s="4">
        <v>250</v>
      </c>
      <c r="D3" s="13" t="s">
        <v>217</v>
      </c>
      <c r="E3" s="35">
        <v>45805</v>
      </c>
      <c r="F3" s="1" t="s">
        <v>198</v>
      </c>
    </row>
    <row r="4" spans="1:8" s="1" customFormat="1" hidden="1" x14ac:dyDescent="0.3">
      <c r="A4" s="10">
        <v>4353088157</v>
      </c>
      <c r="B4" s="1" t="s">
        <v>5</v>
      </c>
      <c r="C4" s="2">
        <v>200</v>
      </c>
      <c r="D4" s="20" t="s">
        <v>217</v>
      </c>
      <c r="E4" s="36">
        <v>45759</v>
      </c>
      <c r="F4" s="1" t="s">
        <v>198</v>
      </c>
    </row>
    <row r="5" spans="1:8" s="1" customFormat="1" hidden="1" x14ac:dyDescent="0.3">
      <c r="A5" s="10">
        <v>2579511130</v>
      </c>
      <c r="B5" s="1" t="s">
        <v>6</v>
      </c>
      <c r="C5" s="2">
        <v>200</v>
      </c>
      <c r="D5" s="21" t="s">
        <v>217</v>
      </c>
      <c r="E5" s="36">
        <v>45804</v>
      </c>
      <c r="F5" s="1" t="s">
        <v>198</v>
      </c>
      <c r="G5" s="1" t="s">
        <v>232</v>
      </c>
    </row>
    <row r="6" spans="1:8" s="3" customFormat="1" hidden="1" x14ac:dyDescent="0.3">
      <c r="A6" s="11">
        <v>161945198</v>
      </c>
      <c r="B6" s="3" t="s">
        <v>7</v>
      </c>
      <c r="C6" s="2">
        <v>200</v>
      </c>
      <c r="D6" s="20" t="s">
        <v>217</v>
      </c>
      <c r="E6" s="36">
        <v>45801</v>
      </c>
      <c r="F6" s="3" t="s">
        <v>198</v>
      </c>
      <c r="G6" s="3" t="s">
        <v>195</v>
      </c>
    </row>
    <row r="7" spans="1:8" s="1" customFormat="1" hidden="1" x14ac:dyDescent="0.3">
      <c r="A7" s="10">
        <v>4074725177</v>
      </c>
      <c r="B7" s="1" t="s">
        <v>8</v>
      </c>
      <c r="C7" s="4">
        <v>150</v>
      </c>
      <c r="D7" s="13" t="s">
        <v>217</v>
      </c>
      <c r="E7" s="35">
        <v>45807</v>
      </c>
      <c r="F7" s="1" t="s">
        <v>198</v>
      </c>
    </row>
    <row r="8" spans="1:8" s="3" customFormat="1" hidden="1" x14ac:dyDescent="0.3">
      <c r="A8" s="11">
        <v>14764830191</v>
      </c>
      <c r="B8" s="3" t="s">
        <v>9</v>
      </c>
      <c r="C8" s="7">
        <v>190</v>
      </c>
      <c r="D8" s="14" t="s">
        <v>217</v>
      </c>
      <c r="E8" s="34">
        <v>45758</v>
      </c>
      <c r="F8" s="3" t="s">
        <v>198</v>
      </c>
      <c r="G8" s="3" t="s">
        <v>195</v>
      </c>
    </row>
    <row r="9" spans="1:8" s="1" customFormat="1" hidden="1" x14ac:dyDescent="0.3">
      <c r="A9" s="10">
        <v>50845969153</v>
      </c>
      <c r="B9" s="1" t="s">
        <v>10</v>
      </c>
      <c r="C9" s="4">
        <v>150</v>
      </c>
      <c r="D9" s="13" t="s">
        <v>217</v>
      </c>
      <c r="E9" s="35">
        <v>45799</v>
      </c>
      <c r="F9" s="1" t="s">
        <v>198</v>
      </c>
    </row>
    <row r="10" spans="1:8" s="1" customFormat="1" hidden="1" x14ac:dyDescent="0.3">
      <c r="A10" s="10">
        <v>99620456149</v>
      </c>
      <c r="B10" s="1" t="s">
        <v>11</v>
      </c>
      <c r="C10" s="4">
        <v>200</v>
      </c>
      <c r="D10" s="13" t="s">
        <v>217</v>
      </c>
      <c r="E10" s="35">
        <v>45810</v>
      </c>
      <c r="F10" s="1" t="s">
        <v>198</v>
      </c>
    </row>
    <row r="11" spans="1:8" s="1" customFormat="1" hidden="1" x14ac:dyDescent="0.3">
      <c r="A11" s="10">
        <v>70176968164</v>
      </c>
      <c r="B11" s="1" t="s">
        <v>12</v>
      </c>
      <c r="C11" s="4">
        <v>150</v>
      </c>
      <c r="D11" s="13" t="s">
        <v>217</v>
      </c>
      <c r="E11" s="35">
        <v>45798</v>
      </c>
      <c r="F11" s="1" t="s">
        <v>198</v>
      </c>
      <c r="G11" s="1" t="s">
        <v>299</v>
      </c>
    </row>
    <row r="12" spans="1:8" s="1" customFormat="1" hidden="1" x14ac:dyDescent="0.3">
      <c r="A12" s="10">
        <v>136466133</v>
      </c>
      <c r="B12" s="1" t="s">
        <v>13</v>
      </c>
      <c r="C12" s="4">
        <v>150</v>
      </c>
      <c r="D12" s="13" t="s">
        <v>217</v>
      </c>
      <c r="E12" s="35">
        <v>45806</v>
      </c>
      <c r="F12" s="1" t="s">
        <v>198</v>
      </c>
    </row>
    <row r="13" spans="1:8" s="1" customFormat="1" hidden="1" x14ac:dyDescent="0.3">
      <c r="A13" s="10">
        <v>84226811100</v>
      </c>
      <c r="B13" s="1" t="s">
        <v>14</v>
      </c>
      <c r="C13" s="4">
        <v>150</v>
      </c>
      <c r="D13" s="13" t="s">
        <v>217</v>
      </c>
      <c r="E13" s="35">
        <v>45763</v>
      </c>
      <c r="F13" s="1" t="s">
        <v>198</v>
      </c>
    </row>
    <row r="14" spans="1:8" s="1" customFormat="1" hidden="1" x14ac:dyDescent="0.3">
      <c r="A14" s="10">
        <v>88027503191</v>
      </c>
      <c r="B14" s="1" t="s">
        <v>15</v>
      </c>
      <c r="C14" s="4">
        <v>140</v>
      </c>
      <c r="D14" s="13" t="s">
        <v>217</v>
      </c>
      <c r="E14" s="35">
        <v>45797</v>
      </c>
      <c r="F14" s="1" t="s">
        <v>198</v>
      </c>
      <c r="G14" s="1" t="s">
        <v>232</v>
      </c>
    </row>
    <row r="15" spans="1:8" s="3" customFormat="1" hidden="1" x14ac:dyDescent="0.3">
      <c r="A15" s="11">
        <v>4422132121</v>
      </c>
      <c r="B15" s="3" t="s">
        <v>16</v>
      </c>
      <c r="C15" s="7">
        <f>600-150</f>
        <v>450</v>
      </c>
      <c r="D15" s="14" t="s">
        <v>217</v>
      </c>
      <c r="E15" s="34">
        <v>45781</v>
      </c>
      <c r="F15" s="3" t="s">
        <v>198</v>
      </c>
    </row>
    <row r="16" spans="1:8" s="1" customFormat="1" hidden="1" x14ac:dyDescent="0.3">
      <c r="A16" s="10">
        <v>1428184104</v>
      </c>
      <c r="B16" s="1" t="s">
        <v>17</v>
      </c>
      <c r="C16" s="4">
        <v>350</v>
      </c>
      <c r="D16" s="13" t="s">
        <v>217</v>
      </c>
      <c r="E16" s="35">
        <v>45797</v>
      </c>
      <c r="F16" s="1" t="s">
        <v>198</v>
      </c>
    </row>
    <row r="17" spans="1:8" s="3" customFormat="1" hidden="1" x14ac:dyDescent="0.3">
      <c r="A17" s="11">
        <v>1613676158</v>
      </c>
      <c r="B17" s="8" t="s">
        <v>18</v>
      </c>
      <c r="C17" s="9">
        <v>400</v>
      </c>
      <c r="D17" s="33" t="s">
        <v>217</v>
      </c>
      <c r="E17" s="33"/>
      <c r="F17" s="8" t="s">
        <v>210</v>
      </c>
      <c r="G17" s="8"/>
      <c r="H17" s="8"/>
    </row>
    <row r="18" spans="1:8" s="1" customFormat="1" hidden="1" x14ac:dyDescent="0.3">
      <c r="A18" s="11">
        <v>5108752385</v>
      </c>
      <c r="B18" s="3" t="s">
        <v>19</v>
      </c>
      <c r="C18" s="7">
        <v>80</v>
      </c>
      <c r="D18" s="14" t="s">
        <v>217</v>
      </c>
      <c r="E18" s="34">
        <v>45763</v>
      </c>
      <c r="F18" s="3" t="s">
        <v>198</v>
      </c>
      <c r="G18" s="3" t="s">
        <v>193</v>
      </c>
      <c r="H18" s="3" t="s">
        <v>197</v>
      </c>
    </row>
    <row r="19" spans="1:8" s="1" customFormat="1" hidden="1" x14ac:dyDescent="0.3">
      <c r="A19" s="10">
        <v>50718606191</v>
      </c>
      <c r="B19" s="1" t="s">
        <v>20</v>
      </c>
      <c r="C19" s="4">
        <v>270</v>
      </c>
      <c r="D19" s="13" t="s">
        <v>217</v>
      </c>
      <c r="E19" s="35">
        <v>45793</v>
      </c>
      <c r="F19" s="1" t="s">
        <v>198</v>
      </c>
    </row>
    <row r="20" spans="1:8" s="23" customFormat="1" hidden="1" x14ac:dyDescent="0.3">
      <c r="A20" s="10">
        <v>348120168</v>
      </c>
      <c r="B20" s="1" t="s">
        <v>21</v>
      </c>
      <c r="C20" s="4">
        <v>400</v>
      </c>
      <c r="D20" s="13" t="s">
        <v>217</v>
      </c>
      <c r="E20" s="35">
        <v>45811</v>
      </c>
      <c r="F20" s="1" t="s">
        <v>198</v>
      </c>
      <c r="G20" s="1"/>
      <c r="H20" s="1"/>
    </row>
    <row r="21" spans="1:8" s="1" customFormat="1" hidden="1" x14ac:dyDescent="0.3">
      <c r="A21" s="10">
        <v>36263740841</v>
      </c>
      <c r="B21" s="1" t="s">
        <v>22</v>
      </c>
      <c r="C21" s="4">
        <v>150</v>
      </c>
      <c r="D21" s="13" t="s">
        <v>217</v>
      </c>
      <c r="E21" s="35">
        <v>45788</v>
      </c>
      <c r="F21" s="1" t="s">
        <v>198</v>
      </c>
    </row>
    <row r="22" spans="1:8" s="1" customFormat="1" x14ac:dyDescent="0.3">
      <c r="A22" s="22">
        <v>45602220100</v>
      </c>
      <c r="B22" s="23" t="s">
        <v>23</v>
      </c>
      <c r="C22" s="24">
        <v>0</v>
      </c>
      <c r="D22" s="25"/>
      <c r="E22" s="37"/>
      <c r="F22" s="23" t="s">
        <v>198</v>
      </c>
      <c r="G22" s="23" t="s">
        <v>194</v>
      </c>
      <c r="H22" s="23"/>
    </row>
    <row r="23" spans="1:8" s="23" customFormat="1" hidden="1" x14ac:dyDescent="0.3">
      <c r="A23" s="10">
        <v>6004385115</v>
      </c>
      <c r="B23" s="1" t="s">
        <v>24</v>
      </c>
      <c r="C23" s="4">
        <v>100</v>
      </c>
      <c r="D23" s="13" t="s">
        <v>267</v>
      </c>
      <c r="E23" s="35">
        <v>45778</v>
      </c>
      <c r="F23" s="1" t="s">
        <v>198</v>
      </c>
      <c r="G23" s="1"/>
      <c r="H23" s="1"/>
    </row>
    <row r="24" spans="1:8" s="3" customFormat="1" hidden="1" x14ac:dyDescent="0.3">
      <c r="A24" s="10">
        <v>83368302191</v>
      </c>
      <c r="B24" s="1" t="s">
        <v>25</v>
      </c>
      <c r="C24" s="4">
        <v>200</v>
      </c>
      <c r="D24" s="26" t="s">
        <v>217</v>
      </c>
      <c r="E24" s="35">
        <v>45800</v>
      </c>
      <c r="F24" s="1" t="s">
        <v>198</v>
      </c>
      <c r="G24" s="1"/>
      <c r="H24" s="1"/>
    </row>
    <row r="25" spans="1:8" s="1" customFormat="1" x14ac:dyDescent="0.3">
      <c r="A25" s="22">
        <v>86416448149</v>
      </c>
      <c r="B25" s="23" t="s">
        <v>26</v>
      </c>
      <c r="C25" s="24">
        <v>0</v>
      </c>
      <c r="D25" s="25"/>
      <c r="E25" s="37"/>
      <c r="F25" s="23" t="s">
        <v>198</v>
      </c>
      <c r="G25" s="23" t="s">
        <v>194</v>
      </c>
      <c r="H25" s="23"/>
    </row>
    <row r="26" spans="1:8" s="23" customFormat="1" hidden="1" x14ac:dyDescent="0.3">
      <c r="A26" s="10">
        <v>16835166134</v>
      </c>
      <c r="B26" s="1" t="s">
        <v>27</v>
      </c>
      <c r="C26" s="4">
        <v>200</v>
      </c>
      <c r="D26" s="13" t="s">
        <v>217</v>
      </c>
      <c r="E26" s="35">
        <v>45771</v>
      </c>
      <c r="F26" s="1" t="s">
        <v>198</v>
      </c>
      <c r="G26" s="1"/>
      <c r="H26" s="1"/>
    </row>
    <row r="27" spans="1:8" s="1" customFormat="1" hidden="1" x14ac:dyDescent="0.3">
      <c r="A27" s="11">
        <v>75628457191</v>
      </c>
      <c r="B27" s="3" t="s">
        <v>28</v>
      </c>
      <c r="C27" s="7">
        <v>150</v>
      </c>
      <c r="D27" s="14" t="s">
        <v>217</v>
      </c>
      <c r="E27" s="34">
        <v>45805</v>
      </c>
      <c r="F27" s="3" t="s">
        <v>198</v>
      </c>
      <c r="G27" s="3"/>
      <c r="H27" s="3"/>
    </row>
    <row r="28" spans="1:8" s="3" customFormat="1" hidden="1" x14ac:dyDescent="0.3">
      <c r="A28" s="10">
        <v>5498172630</v>
      </c>
      <c r="B28" s="1" t="s">
        <v>29</v>
      </c>
      <c r="C28" s="4">
        <v>300</v>
      </c>
      <c r="D28" s="13" t="s">
        <v>267</v>
      </c>
      <c r="E28" s="35">
        <v>45791</v>
      </c>
      <c r="F28" s="1" t="s">
        <v>198</v>
      </c>
      <c r="G28" s="1"/>
      <c r="H28" s="1"/>
    </row>
    <row r="29" spans="1:8" s="1" customFormat="1" x14ac:dyDescent="0.3">
      <c r="A29" s="22">
        <v>92395104191</v>
      </c>
      <c r="B29" s="23" t="s">
        <v>30</v>
      </c>
      <c r="C29" s="24">
        <v>0</v>
      </c>
      <c r="D29" s="25"/>
      <c r="E29" s="37"/>
      <c r="F29" s="23" t="s">
        <v>198</v>
      </c>
      <c r="G29" s="23" t="s">
        <v>194</v>
      </c>
      <c r="H29" s="23"/>
    </row>
    <row r="30" spans="1:8" s="1" customFormat="1" hidden="1" x14ac:dyDescent="0.3">
      <c r="A30" s="32">
        <v>474467147</v>
      </c>
      <c r="B30" s="8" t="s">
        <v>221</v>
      </c>
      <c r="C30" s="9">
        <v>150</v>
      </c>
      <c r="D30" s="33" t="s">
        <v>217</v>
      </c>
      <c r="E30" s="34">
        <v>45796</v>
      </c>
      <c r="F30" s="8" t="s">
        <v>198</v>
      </c>
      <c r="H30" s="8"/>
    </row>
    <row r="31" spans="1:8" s="1" customFormat="1" hidden="1" x14ac:dyDescent="0.3">
      <c r="A31" s="10">
        <v>97560499104</v>
      </c>
      <c r="B31" s="1" t="s">
        <v>31</v>
      </c>
      <c r="C31" s="4">
        <v>300</v>
      </c>
      <c r="D31" s="13" t="s">
        <v>217</v>
      </c>
      <c r="E31" s="35">
        <v>45803</v>
      </c>
      <c r="F31" s="1" t="s">
        <v>198</v>
      </c>
    </row>
    <row r="32" spans="1:8" s="1" customFormat="1" hidden="1" x14ac:dyDescent="0.3">
      <c r="A32" s="11">
        <v>32403194115</v>
      </c>
      <c r="B32" s="3" t="s">
        <v>32</v>
      </c>
      <c r="C32" s="7">
        <v>200</v>
      </c>
      <c r="D32" s="14" t="s">
        <v>217</v>
      </c>
      <c r="E32" s="34">
        <v>45799</v>
      </c>
      <c r="F32" s="3" t="s">
        <v>198</v>
      </c>
      <c r="G32" s="23"/>
      <c r="H32" s="3"/>
    </row>
    <row r="33" spans="1:8" s="23" customFormat="1" hidden="1" x14ac:dyDescent="0.3">
      <c r="A33" s="11">
        <v>785110119</v>
      </c>
      <c r="B33" s="8" t="s">
        <v>238</v>
      </c>
      <c r="C33" s="9">
        <v>80</v>
      </c>
      <c r="D33" s="33" t="s">
        <v>217</v>
      </c>
      <c r="E33" s="40">
        <v>45775</v>
      </c>
      <c r="F33" s="8" t="s">
        <v>198</v>
      </c>
      <c r="G33" s="8" t="s">
        <v>274</v>
      </c>
      <c r="H33" s="8"/>
    </row>
    <row r="34" spans="1:8" s="1" customFormat="1" hidden="1" x14ac:dyDescent="0.3">
      <c r="A34" s="10">
        <v>2335478192</v>
      </c>
      <c r="B34" s="1" t="s">
        <v>33</v>
      </c>
      <c r="C34" s="4">
        <v>150</v>
      </c>
      <c r="D34" s="26" t="s">
        <v>217</v>
      </c>
      <c r="E34" s="35">
        <v>45761</v>
      </c>
      <c r="F34" s="1" t="s">
        <v>198</v>
      </c>
    </row>
    <row r="35" spans="1:8" s="1" customFormat="1" hidden="1" x14ac:dyDescent="0.3">
      <c r="A35" s="10">
        <v>71110704100</v>
      </c>
      <c r="B35" s="1" t="s">
        <v>34</v>
      </c>
      <c r="C35" s="4">
        <v>80</v>
      </c>
      <c r="D35" s="13" t="s">
        <v>217</v>
      </c>
      <c r="E35" s="35">
        <v>45797</v>
      </c>
      <c r="F35" s="1" t="s">
        <v>198</v>
      </c>
    </row>
    <row r="36" spans="1:8" s="23" customFormat="1" hidden="1" x14ac:dyDescent="0.3">
      <c r="A36" s="10">
        <v>94858551172</v>
      </c>
      <c r="B36" s="1" t="s">
        <v>35</v>
      </c>
      <c r="C36" s="4">
        <v>70</v>
      </c>
      <c r="D36" s="13" t="s">
        <v>217</v>
      </c>
      <c r="E36" s="35"/>
      <c r="F36" s="1" t="s">
        <v>198</v>
      </c>
      <c r="G36" s="1"/>
      <c r="H36" s="1"/>
    </row>
    <row r="37" spans="1:8" s="1" customFormat="1" hidden="1" x14ac:dyDescent="0.3">
      <c r="A37" s="22">
        <v>42752566115</v>
      </c>
      <c r="B37" s="23" t="s">
        <v>36</v>
      </c>
      <c r="C37" s="24">
        <v>260</v>
      </c>
      <c r="D37" s="25" t="s">
        <v>217</v>
      </c>
      <c r="E37" s="37"/>
      <c r="F37" s="23" t="s">
        <v>198</v>
      </c>
      <c r="G37" s="23" t="s">
        <v>272</v>
      </c>
      <c r="H37" s="23"/>
    </row>
    <row r="38" spans="1:8" s="3" customFormat="1" hidden="1" x14ac:dyDescent="0.3">
      <c r="A38" s="11">
        <v>1203025270</v>
      </c>
      <c r="B38" s="3" t="s">
        <v>37</v>
      </c>
      <c r="C38" s="7">
        <v>170</v>
      </c>
      <c r="D38" s="14" t="s">
        <v>217</v>
      </c>
      <c r="E38" s="34">
        <v>45796</v>
      </c>
      <c r="F38" s="3" t="s">
        <v>198</v>
      </c>
    </row>
    <row r="39" spans="1:8" s="1" customFormat="1" hidden="1" x14ac:dyDescent="0.3">
      <c r="A39" s="10">
        <v>71200550110</v>
      </c>
      <c r="B39" s="1" t="s">
        <v>38</v>
      </c>
      <c r="C39" s="4">
        <v>150</v>
      </c>
      <c r="D39" s="13" t="s">
        <v>217</v>
      </c>
      <c r="E39" s="35">
        <v>45796</v>
      </c>
      <c r="F39" s="1" t="s">
        <v>198</v>
      </c>
    </row>
    <row r="40" spans="1:8" s="1" customFormat="1" hidden="1" x14ac:dyDescent="0.3">
      <c r="A40" s="10">
        <v>1088604188</v>
      </c>
      <c r="B40" s="1" t="s">
        <v>39</v>
      </c>
      <c r="C40" s="4">
        <v>200</v>
      </c>
      <c r="D40" s="13" t="s">
        <v>217</v>
      </c>
      <c r="E40" s="35">
        <v>45807</v>
      </c>
      <c r="F40" s="1" t="s">
        <v>198</v>
      </c>
    </row>
    <row r="41" spans="1:8" s="1" customFormat="1" hidden="1" x14ac:dyDescent="0.3">
      <c r="A41" s="32">
        <v>2276912103</v>
      </c>
      <c r="B41" s="8" t="s">
        <v>230</v>
      </c>
      <c r="C41" s="9">
        <v>170</v>
      </c>
      <c r="D41" s="33" t="s">
        <v>217</v>
      </c>
      <c r="E41" s="34">
        <v>45797</v>
      </c>
      <c r="F41" s="8" t="s">
        <v>198</v>
      </c>
      <c r="H41" s="8"/>
    </row>
    <row r="42" spans="1:8" s="23" customFormat="1" x14ac:dyDescent="0.3">
      <c r="A42" s="22">
        <v>24674559120</v>
      </c>
      <c r="B42" s="23" t="s">
        <v>40</v>
      </c>
      <c r="C42" s="24">
        <v>0</v>
      </c>
      <c r="D42" s="25"/>
      <c r="E42" s="37"/>
      <c r="F42" s="23" t="s">
        <v>198</v>
      </c>
      <c r="G42" s="23" t="s">
        <v>194</v>
      </c>
      <c r="H42" s="23" t="s">
        <v>199</v>
      </c>
    </row>
    <row r="43" spans="1:8" s="23" customFormat="1" hidden="1" x14ac:dyDescent="0.3">
      <c r="A43" s="10">
        <v>315850191</v>
      </c>
      <c r="B43" s="1" t="s">
        <v>41</v>
      </c>
      <c r="C43" s="4">
        <v>50</v>
      </c>
      <c r="D43" s="13" t="s">
        <v>217</v>
      </c>
      <c r="E43" s="35">
        <v>45756</v>
      </c>
      <c r="F43" s="1" t="s">
        <v>198</v>
      </c>
      <c r="G43" s="1" t="s">
        <v>220</v>
      </c>
      <c r="H43" s="1"/>
    </row>
    <row r="44" spans="1:8" s="1" customFormat="1" x14ac:dyDescent="0.3">
      <c r="A44" s="11">
        <v>92548474100</v>
      </c>
      <c r="B44" s="3" t="s">
        <v>42</v>
      </c>
      <c r="C44" s="7">
        <v>0</v>
      </c>
      <c r="D44" s="14"/>
      <c r="E44" s="34"/>
      <c r="F44" s="3" t="s">
        <v>198</v>
      </c>
      <c r="G44" s="3" t="s">
        <v>195</v>
      </c>
      <c r="H44" s="3"/>
    </row>
    <row r="45" spans="1:8" s="1" customFormat="1" x14ac:dyDescent="0.3">
      <c r="A45" s="10">
        <v>3706439174</v>
      </c>
      <c r="B45" s="1" t="s">
        <v>43</v>
      </c>
      <c r="C45" s="4">
        <v>300</v>
      </c>
      <c r="D45" s="13"/>
      <c r="E45" s="35"/>
      <c r="F45" s="1" t="s">
        <v>198</v>
      </c>
    </row>
    <row r="46" spans="1:8" s="1" customFormat="1" hidden="1" x14ac:dyDescent="0.3">
      <c r="A46" s="10">
        <v>3074116722</v>
      </c>
      <c r="B46" s="1" t="s">
        <v>44</v>
      </c>
      <c r="C46" s="4">
        <v>230</v>
      </c>
      <c r="D46" s="13" t="s">
        <v>217</v>
      </c>
      <c r="E46" s="35">
        <v>45793</v>
      </c>
      <c r="F46" s="1" t="s">
        <v>198</v>
      </c>
      <c r="G46" s="1" t="s">
        <v>200</v>
      </c>
    </row>
    <row r="47" spans="1:8" s="3" customFormat="1" hidden="1" x14ac:dyDescent="0.3">
      <c r="A47" s="10">
        <v>51726750191</v>
      </c>
      <c r="B47" s="1" t="s">
        <v>45</v>
      </c>
      <c r="C47" s="4">
        <v>200</v>
      </c>
      <c r="D47" s="13" t="s">
        <v>217</v>
      </c>
      <c r="E47" s="35">
        <v>45748</v>
      </c>
      <c r="F47" s="1" t="s">
        <v>198</v>
      </c>
      <c r="G47" s="1"/>
      <c r="H47" s="1"/>
    </row>
    <row r="48" spans="1:8" s="3" customFormat="1" hidden="1" x14ac:dyDescent="0.3">
      <c r="A48" s="22">
        <v>90317734172</v>
      </c>
      <c r="B48" s="23" t="s">
        <v>46</v>
      </c>
      <c r="C48" s="24">
        <v>200</v>
      </c>
      <c r="D48" s="25" t="s">
        <v>217</v>
      </c>
      <c r="E48" s="37">
        <v>45791</v>
      </c>
      <c r="F48" s="23" t="s">
        <v>198</v>
      </c>
      <c r="G48" s="23"/>
      <c r="H48" s="23"/>
    </row>
    <row r="49" spans="1:8" s="1" customFormat="1" x14ac:dyDescent="0.3">
      <c r="A49" s="22">
        <v>86873598100</v>
      </c>
      <c r="B49" s="23" t="s">
        <v>47</v>
      </c>
      <c r="C49" s="24">
        <v>0</v>
      </c>
      <c r="D49" s="25"/>
      <c r="E49" s="37"/>
      <c r="F49" s="23" t="s">
        <v>198</v>
      </c>
      <c r="G49" s="23" t="s">
        <v>194</v>
      </c>
      <c r="H49" s="23"/>
    </row>
    <row r="50" spans="1:8" s="3" customFormat="1" hidden="1" x14ac:dyDescent="0.3">
      <c r="A50" s="10">
        <v>76733980100</v>
      </c>
      <c r="B50" s="1" t="s">
        <v>48</v>
      </c>
      <c r="C50" s="4">
        <v>150</v>
      </c>
      <c r="D50" s="13" t="s">
        <v>217</v>
      </c>
      <c r="E50" s="35">
        <v>45793</v>
      </c>
      <c r="F50" s="1" t="s">
        <v>198</v>
      </c>
      <c r="G50" s="1"/>
      <c r="H50" s="1"/>
    </row>
    <row r="51" spans="1:8" s="3" customFormat="1" hidden="1" x14ac:dyDescent="0.3">
      <c r="A51" s="10">
        <v>5469265170</v>
      </c>
      <c r="B51" s="1" t="s">
        <v>49</v>
      </c>
      <c r="C51" s="4">
        <v>150</v>
      </c>
      <c r="D51" s="13" t="s">
        <v>217</v>
      </c>
      <c r="E51" s="35">
        <v>45794</v>
      </c>
      <c r="F51" s="1" t="s">
        <v>198</v>
      </c>
      <c r="G51" s="1"/>
      <c r="H51" s="1"/>
    </row>
    <row r="52" spans="1:8" s="1" customFormat="1" hidden="1" x14ac:dyDescent="0.3">
      <c r="A52" s="10">
        <v>98887670110</v>
      </c>
      <c r="B52" s="1" t="s">
        <v>50</v>
      </c>
      <c r="C52" s="4">
        <v>120</v>
      </c>
      <c r="D52" s="13" t="s">
        <v>217</v>
      </c>
      <c r="E52" s="35">
        <v>45778</v>
      </c>
      <c r="F52" s="1" t="s">
        <v>198</v>
      </c>
    </row>
    <row r="53" spans="1:8" s="28" customFormat="1" hidden="1" x14ac:dyDescent="0.3">
      <c r="A53" s="11">
        <v>38295504134</v>
      </c>
      <c r="B53" s="3" t="s">
        <v>51</v>
      </c>
      <c r="C53" s="7">
        <v>200</v>
      </c>
      <c r="D53" s="14" t="s">
        <v>217</v>
      </c>
      <c r="E53" s="34">
        <v>45805</v>
      </c>
      <c r="F53" s="3" t="s">
        <v>198</v>
      </c>
      <c r="G53" s="3" t="s">
        <v>201</v>
      </c>
      <c r="H53" s="3"/>
    </row>
    <row r="54" spans="1:8" s="23" customFormat="1" hidden="1" x14ac:dyDescent="0.3">
      <c r="A54" s="11">
        <v>85166502191</v>
      </c>
      <c r="B54" s="3" t="s">
        <v>52</v>
      </c>
      <c r="C54" s="7">
        <v>200</v>
      </c>
      <c r="D54" s="14" t="s">
        <v>217</v>
      </c>
      <c r="E54" s="34">
        <v>45805</v>
      </c>
      <c r="F54" s="3" t="s">
        <v>198</v>
      </c>
      <c r="G54" s="3" t="s">
        <v>195</v>
      </c>
      <c r="H54" s="3"/>
    </row>
    <row r="55" spans="1:8" s="3" customFormat="1" hidden="1" x14ac:dyDescent="0.3">
      <c r="A55" s="10">
        <v>58716238168</v>
      </c>
      <c r="B55" s="1" t="s">
        <v>53</v>
      </c>
      <c r="C55" s="4">
        <v>170</v>
      </c>
      <c r="D55" s="13" t="s">
        <v>217</v>
      </c>
      <c r="E55" s="35">
        <v>45793</v>
      </c>
      <c r="F55" s="1" t="s">
        <v>198</v>
      </c>
      <c r="G55" s="1"/>
      <c r="H55" s="1"/>
    </row>
    <row r="56" spans="1:8" s="3" customFormat="1" hidden="1" x14ac:dyDescent="0.3">
      <c r="A56" s="11">
        <v>77674936104</v>
      </c>
      <c r="B56" s="3" t="s">
        <v>54</v>
      </c>
      <c r="C56" s="7">
        <v>350</v>
      </c>
      <c r="D56" s="14" t="s">
        <v>217</v>
      </c>
      <c r="E56" s="34">
        <v>45801</v>
      </c>
      <c r="F56" s="3" t="s">
        <v>198</v>
      </c>
    </row>
    <row r="57" spans="1:8" s="3" customFormat="1" hidden="1" x14ac:dyDescent="0.3">
      <c r="A57" s="11">
        <v>88036383187</v>
      </c>
      <c r="B57" s="3" t="s">
        <v>55</v>
      </c>
      <c r="C57" s="7">
        <v>150</v>
      </c>
      <c r="D57" s="14" t="s">
        <v>217</v>
      </c>
      <c r="E57" s="34">
        <v>45811</v>
      </c>
      <c r="F57" s="3" t="s">
        <v>198</v>
      </c>
      <c r="G57" s="3" t="s">
        <v>193</v>
      </c>
      <c r="H57" s="3" t="s">
        <v>202</v>
      </c>
    </row>
    <row r="58" spans="1:8" s="3" customFormat="1" hidden="1" x14ac:dyDescent="0.3">
      <c r="A58" s="10">
        <v>87093693172</v>
      </c>
      <c r="B58" s="1" t="s">
        <v>56</v>
      </c>
      <c r="C58" s="4">
        <v>100</v>
      </c>
      <c r="D58" s="13" t="s">
        <v>217</v>
      </c>
      <c r="E58" s="35">
        <v>45763</v>
      </c>
      <c r="F58" s="1" t="s">
        <v>198</v>
      </c>
      <c r="G58" s="1"/>
      <c r="H58" s="1"/>
    </row>
    <row r="59" spans="1:8" s="1" customFormat="1" hidden="1" x14ac:dyDescent="0.3">
      <c r="A59" s="27">
        <v>70069210152</v>
      </c>
      <c r="B59" s="28" t="s">
        <v>57</v>
      </c>
      <c r="C59" s="29">
        <v>200</v>
      </c>
      <c r="D59" s="30" t="s">
        <v>217</v>
      </c>
      <c r="E59" s="38">
        <v>45811</v>
      </c>
      <c r="F59" s="28" t="s">
        <v>203</v>
      </c>
      <c r="G59" s="28" t="s">
        <v>204</v>
      </c>
      <c r="H59" s="28"/>
    </row>
    <row r="60" spans="1:8" s="1" customFormat="1" hidden="1" x14ac:dyDescent="0.3">
      <c r="A60" s="32">
        <v>39561349825</v>
      </c>
      <c r="B60" s="8" t="s">
        <v>237</v>
      </c>
      <c r="C60" s="9">
        <v>150</v>
      </c>
      <c r="D60" s="33" t="s">
        <v>217</v>
      </c>
      <c r="E60" s="34">
        <v>45807</v>
      </c>
      <c r="F60" s="8" t="s">
        <v>198</v>
      </c>
      <c r="G60" s="3"/>
      <c r="H60" s="8"/>
    </row>
    <row r="61" spans="1:8" s="5" customFormat="1" hidden="1" x14ac:dyDescent="0.3">
      <c r="A61" s="22">
        <v>82765715149</v>
      </c>
      <c r="B61" s="23" t="s">
        <v>58</v>
      </c>
      <c r="C61" s="24">
        <v>200</v>
      </c>
      <c r="D61" s="31" t="s">
        <v>217</v>
      </c>
      <c r="E61" s="37">
        <v>45811</v>
      </c>
      <c r="F61" s="23" t="s">
        <v>198</v>
      </c>
      <c r="G61" s="23"/>
      <c r="H61" s="23"/>
    </row>
    <row r="62" spans="1:8" s="1" customFormat="1" hidden="1" x14ac:dyDescent="0.3">
      <c r="A62" s="11">
        <v>80781756120</v>
      </c>
      <c r="B62" s="3" t="s">
        <v>59</v>
      </c>
      <c r="C62" s="7">
        <v>190</v>
      </c>
      <c r="D62" s="42" t="s">
        <v>217</v>
      </c>
      <c r="E62" s="34">
        <v>45758</v>
      </c>
      <c r="F62" s="3" t="s">
        <v>198</v>
      </c>
      <c r="G62" s="3"/>
      <c r="H62" s="3"/>
    </row>
    <row r="63" spans="1:8" s="1" customFormat="1" hidden="1" x14ac:dyDescent="0.3">
      <c r="A63" s="11">
        <v>1893601196</v>
      </c>
      <c r="B63" s="3" t="s">
        <v>60</v>
      </c>
      <c r="C63" s="7">
        <v>300</v>
      </c>
      <c r="D63" s="14" t="s">
        <v>217</v>
      </c>
      <c r="E63" s="34">
        <v>45801</v>
      </c>
      <c r="F63" s="3" t="s">
        <v>198</v>
      </c>
      <c r="G63" s="3"/>
      <c r="H63" s="3"/>
    </row>
    <row r="64" spans="1:8" s="3" customFormat="1" x14ac:dyDescent="0.3">
      <c r="A64" s="11">
        <v>89975995187</v>
      </c>
      <c r="B64" s="3" t="s">
        <v>61</v>
      </c>
      <c r="C64" s="7">
        <v>0</v>
      </c>
      <c r="D64" s="14"/>
      <c r="E64" s="34"/>
      <c r="F64" s="3" t="s">
        <v>198</v>
      </c>
      <c r="G64" s="3" t="s">
        <v>195</v>
      </c>
    </row>
    <row r="65" spans="1:8" s="3" customFormat="1" hidden="1" x14ac:dyDescent="0.3">
      <c r="A65" s="11">
        <v>3965257684</v>
      </c>
      <c r="B65" s="3" t="s">
        <v>62</v>
      </c>
      <c r="C65" s="7">
        <v>190</v>
      </c>
      <c r="D65" s="14" t="s">
        <v>217</v>
      </c>
      <c r="E65" s="34">
        <v>45758</v>
      </c>
      <c r="F65" s="3" t="s">
        <v>198</v>
      </c>
    </row>
    <row r="66" spans="1:8" s="1" customFormat="1" hidden="1" x14ac:dyDescent="0.3">
      <c r="A66" s="10">
        <v>21365369153</v>
      </c>
      <c r="B66" s="1" t="s">
        <v>63</v>
      </c>
      <c r="C66" s="4">
        <v>500</v>
      </c>
      <c r="D66" s="13" t="s">
        <v>279</v>
      </c>
      <c r="E66" s="35">
        <v>45796</v>
      </c>
      <c r="F66" s="1" t="s">
        <v>198</v>
      </c>
    </row>
    <row r="67" spans="1:8" s="1" customFormat="1" hidden="1" x14ac:dyDescent="0.3">
      <c r="A67" s="11">
        <v>4091654177</v>
      </c>
      <c r="B67" s="8" t="s">
        <v>239</v>
      </c>
      <c r="C67" s="9">
        <v>200</v>
      </c>
      <c r="D67" s="33" t="s">
        <v>217</v>
      </c>
      <c r="E67" s="40">
        <v>45803</v>
      </c>
      <c r="F67" s="8" t="s">
        <v>203</v>
      </c>
      <c r="G67" s="8" t="s">
        <v>313</v>
      </c>
      <c r="H67" s="8"/>
    </row>
    <row r="68" spans="1:8" s="3" customFormat="1" hidden="1" x14ac:dyDescent="0.3">
      <c r="A68" s="10">
        <v>75677113115</v>
      </c>
      <c r="B68" s="1" t="s">
        <v>64</v>
      </c>
      <c r="C68" s="4">
        <v>1200</v>
      </c>
      <c r="D68" s="13" t="s">
        <v>217</v>
      </c>
      <c r="E68" s="35"/>
      <c r="F68" s="1" t="s">
        <v>210</v>
      </c>
      <c r="G68" s="1" t="s">
        <v>328</v>
      </c>
      <c r="H68" s="1"/>
    </row>
    <row r="69" spans="1:8" s="3" customFormat="1" hidden="1" x14ac:dyDescent="0.3">
      <c r="A69" s="12">
        <v>81616660163</v>
      </c>
      <c r="B69" s="5" t="s">
        <v>65</v>
      </c>
      <c r="C69" s="6">
        <v>200</v>
      </c>
      <c r="D69" s="15" t="s">
        <v>217</v>
      </c>
      <c r="E69" s="39">
        <v>45803</v>
      </c>
      <c r="F69" s="5" t="s">
        <v>198</v>
      </c>
      <c r="G69" s="5"/>
      <c r="H69" s="5"/>
    </row>
    <row r="70" spans="1:8" s="1" customFormat="1" hidden="1" x14ac:dyDescent="0.3">
      <c r="A70" s="10">
        <v>2983358160</v>
      </c>
      <c r="B70" s="1" t="s">
        <v>66</v>
      </c>
      <c r="C70" s="4">
        <v>200</v>
      </c>
      <c r="D70" s="13" t="s">
        <v>217</v>
      </c>
      <c r="E70" s="35">
        <v>45763</v>
      </c>
      <c r="F70" s="1" t="s">
        <v>198</v>
      </c>
    </row>
    <row r="71" spans="1:8" s="1" customFormat="1" hidden="1" x14ac:dyDescent="0.3">
      <c r="A71" s="10">
        <v>999252143</v>
      </c>
      <c r="B71" s="1" t="s">
        <v>67</v>
      </c>
      <c r="C71" s="4">
        <v>270</v>
      </c>
      <c r="D71" s="13" t="s">
        <v>217</v>
      </c>
      <c r="E71" s="35">
        <v>45785</v>
      </c>
      <c r="F71" s="1" t="s">
        <v>198</v>
      </c>
      <c r="G71" s="1" t="s">
        <v>225</v>
      </c>
    </row>
    <row r="72" spans="1:8" s="1" customFormat="1" hidden="1" x14ac:dyDescent="0.3">
      <c r="A72" s="32">
        <v>70418529116</v>
      </c>
      <c r="B72" s="8" t="s">
        <v>223</v>
      </c>
      <c r="C72" s="9">
        <v>120</v>
      </c>
      <c r="D72" s="33" t="s">
        <v>217</v>
      </c>
      <c r="E72" s="34">
        <v>45798</v>
      </c>
      <c r="F72" s="8" t="s">
        <v>198</v>
      </c>
      <c r="G72" s="3"/>
      <c r="H72" s="8"/>
    </row>
    <row r="73" spans="1:8" hidden="1" x14ac:dyDescent="0.3">
      <c r="A73" s="11">
        <v>75049201187</v>
      </c>
      <c r="B73" s="3" t="s">
        <v>68</v>
      </c>
      <c r="C73" s="7">
        <v>150</v>
      </c>
      <c r="D73" s="14" t="s">
        <v>217</v>
      </c>
      <c r="E73" s="34">
        <v>45814</v>
      </c>
      <c r="F73" s="3" t="s">
        <v>198</v>
      </c>
      <c r="G73" s="3"/>
      <c r="H73" s="3"/>
    </row>
    <row r="74" spans="1:8" s="1" customFormat="1" hidden="1" x14ac:dyDescent="0.3">
      <c r="A74" s="11">
        <v>59269855287</v>
      </c>
      <c r="B74" s="8" t="s">
        <v>240</v>
      </c>
      <c r="C74" s="9">
        <v>300</v>
      </c>
      <c r="D74" s="33" t="s">
        <v>217</v>
      </c>
      <c r="E74" s="35">
        <v>45807</v>
      </c>
      <c r="F74" s="8" t="s">
        <v>198</v>
      </c>
      <c r="G74" s="8"/>
      <c r="H74" s="8"/>
    </row>
    <row r="75" spans="1:8" s="1" customFormat="1" hidden="1" x14ac:dyDescent="0.3">
      <c r="A75" s="11">
        <v>50953427153</v>
      </c>
      <c r="B75" s="3" t="s">
        <v>69</v>
      </c>
      <c r="C75" s="7">
        <v>100</v>
      </c>
      <c r="D75" s="14" t="s">
        <v>217</v>
      </c>
      <c r="E75" s="34">
        <v>45771</v>
      </c>
      <c r="F75" s="3" t="s">
        <v>198</v>
      </c>
      <c r="G75" s="3"/>
      <c r="H75" s="3"/>
    </row>
    <row r="76" spans="1:8" s="3" customFormat="1" hidden="1" x14ac:dyDescent="0.3">
      <c r="A76" s="10">
        <v>47745126134</v>
      </c>
      <c r="B76" s="1" t="s">
        <v>70</v>
      </c>
      <c r="C76" s="4">
        <v>250</v>
      </c>
      <c r="D76" s="13" t="s">
        <v>217</v>
      </c>
      <c r="E76" s="35">
        <v>45798</v>
      </c>
      <c r="F76" s="1" t="s">
        <v>198</v>
      </c>
      <c r="G76" s="1">
        <v>1450</v>
      </c>
      <c r="H76" s="1"/>
    </row>
    <row r="77" spans="1:8" s="1" customFormat="1" hidden="1" x14ac:dyDescent="0.3">
      <c r="A77" s="10">
        <v>80981348149</v>
      </c>
      <c r="B77" s="1" t="s">
        <v>71</v>
      </c>
      <c r="C77" s="4">
        <v>350</v>
      </c>
      <c r="D77" s="13" t="s">
        <v>217</v>
      </c>
      <c r="E77" s="35">
        <v>45810</v>
      </c>
      <c r="F77" s="1" t="s">
        <v>198</v>
      </c>
      <c r="G77" s="1">
        <v>900</v>
      </c>
    </row>
    <row r="78" spans="1:8" s="1" customFormat="1" hidden="1" x14ac:dyDescent="0.3">
      <c r="A78" s="11">
        <v>70763097187</v>
      </c>
      <c r="B78" s="3" t="s">
        <v>72</v>
      </c>
      <c r="C78" s="7">
        <v>150</v>
      </c>
      <c r="D78" s="14" t="s">
        <v>217</v>
      </c>
      <c r="E78" s="34">
        <v>45751</v>
      </c>
      <c r="F78" s="3" t="s">
        <v>198</v>
      </c>
      <c r="G78" s="3">
        <f>SUM(G76:G77)</f>
        <v>2350</v>
      </c>
      <c r="H78" s="3"/>
    </row>
    <row r="79" spans="1:8" s="1" customFormat="1" hidden="1" x14ac:dyDescent="0.3">
      <c r="A79" s="11">
        <v>70575044110</v>
      </c>
      <c r="B79" s="3" t="s">
        <v>73</v>
      </c>
      <c r="C79" s="7">
        <v>120</v>
      </c>
      <c r="D79" s="14" t="s">
        <v>217</v>
      </c>
      <c r="E79" s="34">
        <v>45793</v>
      </c>
      <c r="F79" s="3" t="s">
        <v>198</v>
      </c>
      <c r="G79" s="3"/>
      <c r="H79" s="3"/>
    </row>
    <row r="80" spans="1:8" s="1" customFormat="1" hidden="1" x14ac:dyDescent="0.3">
      <c r="A80" s="32">
        <v>331896176</v>
      </c>
      <c r="B80" s="8" t="s">
        <v>231</v>
      </c>
      <c r="C80" s="9">
        <v>280</v>
      </c>
      <c r="D80" s="33" t="s">
        <v>217</v>
      </c>
      <c r="E80" s="34">
        <v>45859</v>
      </c>
      <c r="F80" s="8" t="s">
        <v>198</v>
      </c>
      <c r="G80" s="3"/>
      <c r="H80" s="8"/>
    </row>
    <row r="81" spans="1:8" s="3" customFormat="1" hidden="1" x14ac:dyDescent="0.3">
      <c r="A81" s="10">
        <v>7963794678</v>
      </c>
      <c r="B81" s="1" t="s">
        <v>74</v>
      </c>
      <c r="C81" s="4">
        <v>250</v>
      </c>
      <c r="D81" s="13" t="s">
        <v>217</v>
      </c>
      <c r="E81" s="35">
        <v>45806</v>
      </c>
      <c r="F81" s="1" t="s">
        <v>198</v>
      </c>
      <c r="G81" s="1"/>
      <c r="H81" s="1"/>
    </row>
    <row r="82" spans="1:8" s="1" customFormat="1" hidden="1" x14ac:dyDescent="0.3">
      <c r="A82" s="10">
        <v>75306875149</v>
      </c>
      <c r="B82" s="1" t="s">
        <v>75</v>
      </c>
      <c r="C82" s="4">
        <v>300</v>
      </c>
      <c r="D82" s="13" t="s">
        <v>217</v>
      </c>
      <c r="E82" s="35">
        <v>45812</v>
      </c>
      <c r="F82" s="1" t="s">
        <v>210</v>
      </c>
    </row>
    <row r="83" spans="1:8" s="3" customFormat="1" hidden="1" x14ac:dyDescent="0.3">
      <c r="A83" s="11">
        <v>85822680178</v>
      </c>
      <c r="B83" s="8" t="s">
        <v>241</v>
      </c>
      <c r="C83" s="9">
        <v>150</v>
      </c>
      <c r="D83" s="33" t="s">
        <v>217</v>
      </c>
      <c r="E83" s="35">
        <v>45799</v>
      </c>
      <c r="F83" s="8" t="s">
        <v>198</v>
      </c>
      <c r="G83" s="8"/>
      <c r="H83" s="8"/>
    </row>
    <row r="84" spans="1:8" s="1" customFormat="1" hidden="1" x14ac:dyDescent="0.3">
      <c r="A84" s="10">
        <v>781710162</v>
      </c>
      <c r="B84" s="1" t="s">
        <v>76</v>
      </c>
      <c r="C84" s="4">
        <v>400</v>
      </c>
      <c r="D84" s="13" t="s">
        <v>217</v>
      </c>
      <c r="E84" s="35">
        <v>45807</v>
      </c>
      <c r="F84" s="1" t="s">
        <v>198</v>
      </c>
      <c r="G84" s="1" t="s">
        <v>324</v>
      </c>
    </row>
    <row r="85" spans="1:8" s="1" customFormat="1" hidden="1" x14ac:dyDescent="0.3">
      <c r="A85" s="32">
        <v>6363142199</v>
      </c>
      <c r="B85" s="8" t="s">
        <v>77</v>
      </c>
      <c r="C85" s="9">
        <v>200</v>
      </c>
      <c r="D85" s="33" t="s">
        <v>217</v>
      </c>
      <c r="E85" s="40">
        <v>45810</v>
      </c>
      <c r="F85" s="8" t="s">
        <v>203</v>
      </c>
      <c r="G85" s="8"/>
      <c r="H85" s="8"/>
    </row>
    <row r="86" spans="1:8" s="1" customFormat="1" hidden="1" x14ac:dyDescent="0.3">
      <c r="A86" s="10">
        <v>79474047120</v>
      </c>
      <c r="B86" s="1" t="s">
        <v>78</v>
      </c>
      <c r="C86" s="4">
        <v>120</v>
      </c>
      <c r="D86" s="13" t="s">
        <v>217</v>
      </c>
      <c r="E86" s="35">
        <v>45793</v>
      </c>
      <c r="F86" s="1" t="s">
        <v>198</v>
      </c>
    </row>
    <row r="87" spans="1:8" s="1" customFormat="1" hidden="1" x14ac:dyDescent="0.3">
      <c r="A87" s="10">
        <v>73283380</v>
      </c>
      <c r="B87" s="1" t="s">
        <v>79</v>
      </c>
      <c r="C87" s="4">
        <v>200</v>
      </c>
      <c r="D87" s="13" t="s">
        <v>217</v>
      </c>
      <c r="E87" s="35">
        <v>45797</v>
      </c>
      <c r="F87" s="1" t="s">
        <v>198</v>
      </c>
    </row>
    <row r="88" spans="1:8" s="1" customFormat="1" hidden="1" x14ac:dyDescent="0.3">
      <c r="A88" s="11">
        <v>53282485115</v>
      </c>
      <c r="B88" s="3" t="s">
        <v>80</v>
      </c>
      <c r="C88" s="7">
        <v>250</v>
      </c>
      <c r="D88" s="14" t="s">
        <v>217</v>
      </c>
      <c r="E88" s="34">
        <v>45805</v>
      </c>
      <c r="F88" s="3" t="s">
        <v>198</v>
      </c>
      <c r="G88" s="3"/>
      <c r="H88" s="3"/>
    </row>
    <row r="89" spans="1:8" s="3" customFormat="1" hidden="1" x14ac:dyDescent="0.3">
      <c r="A89" s="10">
        <v>28834526104</v>
      </c>
      <c r="B89" s="1" t="s">
        <v>81</v>
      </c>
      <c r="C89" s="4">
        <v>60</v>
      </c>
      <c r="D89" s="13" t="s">
        <v>267</v>
      </c>
      <c r="E89" s="35">
        <v>45761</v>
      </c>
      <c r="F89" s="1" t="s">
        <v>198</v>
      </c>
      <c r="G89" s="1"/>
      <c r="H89" s="1"/>
    </row>
    <row r="90" spans="1:8" s="1" customFormat="1" hidden="1" x14ac:dyDescent="0.3">
      <c r="A90" s="10">
        <v>36670979134</v>
      </c>
      <c r="B90" s="1" t="s">
        <v>82</v>
      </c>
      <c r="C90" s="4">
        <v>300</v>
      </c>
      <c r="D90" s="13" t="s">
        <v>217</v>
      </c>
      <c r="E90" s="35">
        <v>45750</v>
      </c>
      <c r="F90" s="1" t="s">
        <v>198</v>
      </c>
    </row>
    <row r="91" spans="1:8" s="3" customFormat="1" hidden="1" x14ac:dyDescent="0.3">
      <c r="A91" s="10">
        <v>77731123120</v>
      </c>
      <c r="B91" s="1" t="s">
        <v>83</v>
      </c>
      <c r="C91" s="4">
        <v>300</v>
      </c>
      <c r="D91" s="13" t="s">
        <v>217</v>
      </c>
      <c r="E91" s="35">
        <v>45812</v>
      </c>
      <c r="F91" s="1" t="s">
        <v>198</v>
      </c>
      <c r="G91" s="1"/>
      <c r="H91" s="1"/>
    </row>
    <row r="92" spans="1:8" s="1" customFormat="1" hidden="1" x14ac:dyDescent="0.3">
      <c r="A92" s="11">
        <v>73141348120</v>
      </c>
      <c r="B92" s="3" t="s">
        <v>84</v>
      </c>
      <c r="C92" s="7">
        <v>150</v>
      </c>
      <c r="D92" s="14" t="s">
        <v>217</v>
      </c>
      <c r="E92" s="34">
        <v>45815</v>
      </c>
      <c r="F92" s="3" t="s">
        <v>198</v>
      </c>
      <c r="G92" s="3"/>
      <c r="H92" s="3"/>
    </row>
    <row r="93" spans="1:8" s="1" customFormat="1" hidden="1" x14ac:dyDescent="0.3">
      <c r="A93" s="11">
        <v>47763590572</v>
      </c>
      <c r="B93" s="8" t="s">
        <v>242</v>
      </c>
      <c r="C93" s="9">
        <v>100</v>
      </c>
      <c r="D93" s="33" t="s">
        <v>235</v>
      </c>
      <c r="E93" s="33"/>
      <c r="F93" s="8" t="s">
        <v>198</v>
      </c>
      <c r="G93" s="8"/>
      <c r="H93" s="8"/>
    </row>
    <row r="94" spans="1:8" s="1" customFormat="1" hidden="1" x14ac:dyDescent="0.3">
      <c r="A94" s="10">
        <v>3736095155</v>
      </c>
      <c r="B94" s="1" t="s">
        <v>85</v>
      </c>
      <c r="C94" s="4">
        <v>350</v>
      </c>
      <c r="D94" s="13" t="s">
        <v>217</v>
      </c>
      <c r="E94" s="35">
        <v>45807</v>
      </c>
      <c r="F94" s="1" t="s">
        <v>198</v>
      </c>
    </row>
    <row r="95" spans="1:8" s="1" customFormat="1" x14ac:dyDescent="0.3">
      <c r="A95" s="11">
        <v>75109409153</v>
      </c>
      <c r="B95" s="3" t="s">
        <v>86</v>
      </c>
      <c r="C95" s="7">
        <v>0</v>
      </c>
      <c r="D95" s="14"/>
      <c r="E95" s="34"/>
      <c r="F95" s="3" t="s">
        <v>198</v>
      </c>
      <c r="G95" s="3" t="s">
        <v>195</v>
      </c>
      <c r="H95" s="3" t="s">
        <v>205</v>
      </c>
    </row>
    <row r="96" spans="1:8" s="3" customFormat="1" x14ac:dyDescent="0.3">
      <c r="A96" s="11">
        <v>63331870110</v>
      </c>
      <c r="B96" s="8" t="s">
        <v>243</v>
      </c>
      <c r="C96" s="9">
        <v>0</v>
      </c>
      <c r="D96" s="33"/>
      <c r="E96" s="33"/>
      <c r="F96" s="8" t="s">
        <v>198</v>
      </c>
      <c r="G96" s="8" t="s">
        <v>194</v>
      </c>
      <c r="H96" s="8"/>
    </row>
    <row r="97" spans="1:8" s="1" customFormat="1" hidden="1" x14ac:dyDescent="0.3">
      <c r="A97" s="10">
        <v>79947735168</v>
      </c>
      <c r="B97" s="1" t="s">
        <v>87</v>
      </c>
      <c r="C97" s="4">
        <v>200</v>
      </c>
      <c r="D97" s="13" t="s">
        <v>217</v>
      </c>
      <c r="E97" s="35">
        <v>45811</v>
      </c>
      <c r="F97" s="1" t="s">
        <v>198</v>
      </c>
    </row>
    <row r="98" spans="1:8" s="1" customFormat="1" x14ac:dyDescent="0.3">
      <c r="A98" s="11">
        <v>1104906147</v>
      </c>
      <c r="B98" s="8" t="s">
        <v>88</v>
      </c>
      <c r="C98" s="9">
        <v>0</v>
      </c>
      <c r="D98" s="33"/>
      <c r="E98" s="33"/>
      <c r="F98" s="8" t="s">
        <v>198</v>
      </c>
      <c r="G98" s="8" t="s">
        <v>194</v>
      </c>
      <c r="H98" s="8"/>
    </row>
    <row r="99" spans="1:8" s="5" customFormat="1" hidden="1" x14ac:dyDescent="0.3">
      <c r="A99" s="11">
        <v>3152410123</v>
      </c>
      <c r="B99" s="3" t="s">
        <v>89</v>
      </c>
      <c r="C99" s="7">
        <v>150</v>
      </c>
      <c r="D99" s="14" t="s">
        <v>217</v>
      </c>
      <c r="E99" s="34">
        <v>45805</v>
      </c>
      <c r="F99" s="3" t="s">
        <v>198</v>
      </c>
      <c r="G99" s="3"/>
      <c r="H99" s="3"/>
    </row>
    <row r="100" spans="1:8" s="1" customFormat="1" hidden="1" x14ac:dyDescent="0.3">
      <c r="A100" s="10">
        <v>95812920125</v>
      </c>
      <c r="B100" s="1" t="s">
        <v>90</v>
      </c>
      <c r="C100" s="4">
        <v>200</v>
      </c>
      <c r="D100" s="26" t="s">
        <v>217</v>
      </c>
      <c r="E100" s="35">
        <v>45777</v>
      </c>
      <c r="F100" s="1" t="s">
        <v>198</v>
      </c>
    </row>
    <row r="101" spans="1:8" s="3" customFormat="1" hidden="1" x14ac:dyDescent="0.3">
      <c r="A101" s="10">
        <v>64632130125</v>
      </c>
      <c r="B101" s="1" t="s">
        <v>91</v>
      </c>
      <c r="C101" s="4">
        <v>150</v>
      </c>
      <c r="D101" s="13" t="s">
        <v>264</v>
      </c>
      <c r="E101" s="35">
        <v>45807</v>
      </c>
      <c r="F101" s="1" t="s">
        <v>198</v>
      </c>
      <c r="G101" s="1"/>
      <c r="H101" s="1"/>
    </row>
    <row r="102" spans="1:8" s="1" customFormat="1" x14ac:dyDescent="0.3">
      <c r="A102" s="11">
        <v>46886117220</v>
      </c>
      <c r="B102" s="8" t="s">
        <v>244</v>
      </c>
      <c r="C102" s="9">
        <v>0</v>
      </c>
      <c r="D102" s="33"/>
      <c r="E102" s="33"/>
      <c r="F102" s="8" t="s">
        <v>198</v>
      </c>
      <c r="G102" s="8" t="s">
        <v>194</v>
      </c>
      <c r="H102" s="8"/>
    </row>
    <row r="103" spans="1:8" s="1" customFormat="1" hidden="1" x14ac:dyDescent="0.3">
      <c r="A103" s="10">
        <v>97241792149</v>
      </c>
      <c r="B103" s="1" t="s">
        <v>92</v>
      </c>
      <c r="C103" s="4">
        <v>120</v>
      </c>
      <c r="D103" s="13" t="s">
        <v>217</v>
      </c>
      <c r="E103" s="35">
        <v>45734</v>
      </c>
      <c r="F103" s="1" t="s">
        <v>198</v>
      </c>
    </row>
    <row r="104" spans="1:8" s="23" customFormat="1" hidden="1" x14ac:dyDescent="0.3">
      <c r="A104" s="10">
        <v>3746247128</v>
      </c>
      <c r="B104" s="1" t="s">
        <v>93</v>
      </c>
      <c r="C104" s="4">
        <v>100</v>
      </c>
      <c r="D104" s="13" t="s">
        <v>217</v>
      </c>
      <c r="E104" s="35">
        <v>45797</v>
      </c>
      <c r="F104" s="1" t="s">
        <v>198</v>
      </c>
      <c r="G104" s="1"/>
      <c r="H104" s="1"/>
    </row>
    <row r="105" spans="1:8" s="1" customFormat="1" hidden="1" x14ac:dyDescent="0.3">
      <c r="A105" s="11">
        <v>19112963100</v>
      </c>
      <c r="B105" s="3" t="s">
        <v>94</v>
      </c>
      <c r="C105" s="7">
        <v>200</v>
      </c>
      <c r="D105" s="14" t="s">
        <v>279</v>
      </c>
      <c r="E105" s="34">
        <v>45804</v>
      </c>
      <c r="F105" s="3" t="s">
        <v>198</v>
      </c>
      <c r="G105" s="3" t="s">
        <v>195</v>
      </c>
      <c r="H105" s="3"/>
    </row>
    <row r="106" spans="1:8" s="28" customFormat="1" hidden="1" x14ac:dyDescent="0.3">
      <c r="A106" s="11">
        <v>1940435170</v>
      </c>
      <c r="B106" s="8" t="s">
        <v>245</v>
      </c>
      <c r="C106" s="9">
        <v>250</v>
      </c>
      <c r="D106" s="33" t="s">
        <v>217</v>
      </c>
      <c r="E106" s="35">
        <v>45797</v>
      </c>
      <c r="F106" s="8" t="s">
        <v>198</v>
      </c>
      <c r="G106" s="8"/>
      <c r="H106" s="8"/>
    </row>
    <row r="107" spans="1:8" s="1" customFormat="1" hidden="1" x14ac:dyDescent="0.3">
      <c r="A107" s="10">
        <v>87262517104</v>
      </c>
      <c r="B107" s="1" t="s">
        <v>95</v>
      </c>
      <c r="C107" s="4">
        <v>150</v>
      </c>
      <c r="D107" s="13" t="s">
        <v>217</v>
      </c>
      <c r="E107" s="35">
        <v>45808</v>
      </c>
      <c r="F107" s="1" t="s">
        <v>198</v>
      </c>
    </row>
    <row r="108" spans="1:8" s="1" customFormat="1" hidden="1" x14ac:dyDescent="0.3">
      <c r="A108" s="11">
        <v>99802716120</v>
      </c>
      <c r="B108" s="3" t="s">
        <v>96</v>
      </c>
      <c r="C108" s="7">
        <v>150</v>
      </c>
      <c r="D108" s="14" t="s">
        <v>217</v>
      </c>
      <c r="E108" s="34">
        <v>45811</v>
      </c>
      <c r="F108" s="3" t="s">
        <v>198</v>
      </c>
      <c r="G108" s="3" t="s">
        <v>193</v>
      </c>
      <c r="H108" s="3" t="s">
        <v>202</v>
      </c>
    </row>
    <row r="109" spans="1:8" s="1" customFormat="1" hidden="1" x14ac:dyDescent="0.3">
      <c r="A109" s="10">
        <v>85451177104</v>
      </c>
      <c r="B109" s="1" t="s">
        <v>97</v>
      </c>
      <c r="C109" s="4">
        <v>400</v>
      </c>
      <c r="D109" s="13" t="s">
        <v>217</v>
      </c>
      <c r="E109" s="35">
        <v>45750</v>
      </c>
      <c r="F109" s="1" t="s">
        <v>198</v>
      </c>
    </row>
    <row r="110" spans="1:8" s="1" customFormat="1" hidden="1" x14ac:dyDescent="0.3">
      <c r="A110" s="10">
        <v>3733165187</v>
      </c>
      <c r="B110" s="1" t="s">
        <v>98</v>
      </c>
      <c r="C110" s="4">
        <v>100</v>
      </c>
      <c r="D110" s="13" t="s">
        <v>217</v>
      </c>
      <c r="E110" s="35">
        <v>45778</v>
      </c>
      <c r="F110" s="1" t="s">
        <v>198</v>
      </c>
    </row>
    <row r="111" spans="1:8" s="1" customFormat="1" hidden="1" x14ac:dyDescent="0.3">
      <c r="A111" s="10">
        <v>79169406120</v>
      </c>
      <c r="B111" s="1" t="s">
        <v>99</v>
      </c>
      <c r="C111" s="4">
        <v>100</v>
      </c>
      <c r="D111" s="13" t="s">
        <v>217</v>
      </c>
      <c r="E111" s="35">
        <v>45811</v>
      </c>
      <c r="F111" s="1" t="s">
        <v>198</v>
      </c>
    </row>
    <row r="112" spans="1:8" s="3" customFormat="1" hidden="1" x14ac:dyDescent="0.3">
      <c r="A112" s="10">
        <v>64889556168</v>
      </c>
      <c r="B112" s="1" t="s">
        <v>100</v>
      </c>
      <c r="C112" s="4">
        <v>1300</v>
      </c>
      <c r="D112" s="13" t="s">
        <v>217</v>
      </c>
      <c r="E112" s="35">
        <v>45803</v>
      </c>
      <c r="F112" s="1" t="s">
        <v>198</v>
      </c>
      <c r="G112" s="1" t="s">
        <v>320</v>
      </c>
      <c r="H112" s="1"/>
    </row>
    <row r="113" spans="1:8" s="5" customFormat="1" hidden="1" x14ac:dyDescent="0.3">
      <c r="A113" s="10">
        <v>81559704187</v>
      </c>
      <c r="B113" s="1" t="s">
        <v>101</v>
      </c>
      <c r="C113" s="4">
        <v>100</v>
      </c>
      <c r="D113" s="13" t="s">
        <v>217</v>
      </c>
      <c r="E113" s="35">
        <v>45817</v>
      </c>
      <c r="F113" s="1" t="s">
        <v>198</v>
      </c>
      <c r="G113" s="1"/>
      <c r="H113" s="1"/>
    </row>
    <row r="114" spans="1:8" s="23" customFormat="1" hidden="1" x14ac:dyDescent="0.3">
      <c r="A114" s="11">
        <v>4330472678</v>
      </c>
      <c r="B114" s="3" t="s">
        <v>102</v>
      </c>
      <c r="C114" s="7">
        <v>200</v>
      </c>
      <c r="D114" s="14" t="s">
        <v>279</v>
      </c>
      <c r="E114" s="34">
        <v>45806</v>
      </c>
      <c r="F114" s="3" t="s">
        <v>198</v>
      </c>
      <c r="G114" s="3" t="s">
        <v>260</v>
      </c>
      <c r="H114" s="3"/>
    </row>
    <row r="115" spans="1:8" s="1" customFormat="1" hidden="1" x14ac:dyDescent="0.3">
      <c r="A115" s="10">
        <v>2688517198</v>
      </c>
      <c r="B115" s="1" t="s">
        <v>103</v>
      </c>
      <c r="C115" s="4">
        <v>100</v>
      </c>
      <c r="D115" s="13" t="s">
        <v>217</v>
      </c>
      <c r="E115" s="35">
        <v>45761</v>
      </c>
      <c r="F115" s="1" t="s">
        <v>198</v>
      </c>
    </row>
    <row r="116" spans="1:8" s="3" customFormat="1" hidden="1" x14ac:dyDescent="0.3">
      <c r="A116" s="10">
        <v>7122779190</v>
      </c>
      <c r="B116" s="1" t="s">
        <v>104</v>
      </c>
      <c r="C116" s="4">
        <v>200</v>
      </c>
      <c r="D116" s="13" t="s">
        <v>217</v>
      </c>
      <c r="E116" s="35">
        <v>45806</v>
      </c>
      <c r="F116" s="1" t="s">
        <v>198</v>
      </c>
      <c r="G116" s="1"/>
      <c r="H116" s="1"/>
    </row>
    <row r="117" spans="1:8" s="1" customFormat="1" hidden="1" x14ac:dyDescent="0.3">
      <c r="A117" s="12">
        <v>2070106179</v>
      </c>
      <c r="B117" s="5" t="s">
        <v>105</v>
      </c>
      <c r="C117" s="6">
        <v>200</v>
      </c>
      <c r="D117" s="15" t="s">
        <v>217</v>
      </c>
      <c r="E117" s="39">
        <v>45804</v>
      </c>
      <c r="F117" s="5" t="s">
        <v>198</v>
      </c>
      <c r="G117" s="5"/>
      <c r="H117" s="5"/>
    </row>
    <row r="118" spans="1:8" s="1" customFormat="1" hidden="1" x14ac:dyDescent="0.3">
      <c r="A118" s="10">
        <v>87380145134</v>
      </c>
      <c r="B118" s="1" t="s">
        <v>106</v>
      </c>
      <c r="C118" s="4">
        <v>400</v>
      </c>
      <c r="D118" s="13" t="s">
        <v>217</v>
      </c>
      <c r="E118" s="35">
        <v>45735</v>
      </c>
      <c r="F118" s="1" t="s">
        <v>198</v>
      </c>
    </row>
    <row r="119" spans="1:8" s="3" customFormat="1" hidden="1" x14ac:dyDescent="0.3">
      <c r="A119" s="11">
        <v>4031033630</v>
      </c>
      <c r="B119" s="3" t="s">
        <v>107</v>
      </c>
      <c r="C119" s="7">
        <v>300</v>
      </c>
      <c r="D119" s="14" t="s">
        <v>217</v>
      </c>
      <c r="E119" s="34">
        <v>45810</v>
      </c>
      <c r="F119" s="3" t="s">
        <v>198</v>
      </c>
      <c r="G119" s="3" t="s">
        <v>262</v>
      </c>
    </row>
    <row r="120" spans="1:8" s="1" customFormat="1" hidden="1" x14ac:dyDescent="0.3">
      <c r="A120" s="10">
        <v>9357424172</v>
      </c>
      <c r="B120" s="1" t="s">
        <v>108</v>
      </c>
      <c r="C120" s="4">
        <v>150</v>
      </c>
      <c r="D120" s="13" t="s">
        <v>217</v>
      </c>
      <c r="E120" s="35">
        <v>45796</v>
      </c>
      <c r="F120" s="1" t="s">
        <v>198</v>
      </c>
    </row>
    <row r="121" spans="1:8" s="1" customFormat="1" hidden="1" x14ac:dyDescent="0.3">
      <c r="A121" s="10">
        <v>64977323300</v>
      </c>
      <c r="B121" s="1" t="s">
        <v>109</v>
      </c>
      <c r="C121" s="4">
        <v>170</v>
      </c>
      <c r="D121" s="13" t="s">
        <v>217</v>
      </c>
      <c r="E121" s="35">
        <v>45797</v>
      </c>
      <c r="F121" s="1" t="s">
        <v>198</v>
      </c>
    </row>
    <row r="122" spans="1:8" s="1" customFormat="1" hidden="1" x14ac:dyDescent="0.3">
      <c r="A122" s="32">
        <v>7066050126</v>
      </c>
      <c r="B122" s="8" t="s">
        <v>227</v>
      </c>
      <c r="C122" s="9">
        <v>150</v>
      </c>
      <c r="D122" s="33" t="s">
        <v>217</v>
      </c>
      <c r="E122" s="34">
        <v>45806</v>
      </c>
      <c r="F122" s="8" t="s">
        <v>198</v>
      </c>
      <c r="H122" s="8"/>
    </row>
    <row r="123" spans="1:8" s="1" customFormat="1" hidden="1" x14ac:dyDescent="0.3">
      <c r="A123" s="11">
        <v>2682768113</v>
      </c>
      <c r="B123" s="8" t="s">
        <v>246</v>
      </c>
      <c r="C123" s="9">
        <v>120</v>
      </c>
      <c r="D123" s="33" t="s">
        <v>217</v>
      </c>
      <c r="E123" s="40"/>
      <c r="F123" s="8" t="s">
        <v>198</v>
      </c>
      <c r="G123" s="8"/>
      <c r="H123" s="8" t="s">
        <v>258</v>
      </c>
    </row>
    <row r="124" spans="1:8" s="3" customFormat="1" hidden="1" x14ac:dyDescent="0.3">
      <c r="A124" s="22">
        <v>2667868129</v>
      </c>
      <c r="B124" s="23" t="s">
        <v>110</v>
      </c>
      <c r="C124" s="24">
        <v>0</v>
      </c>
      <c r="D124" s="25"/>
      <c r="E124" s="37"/>
      <c r="F124" s="23" t="s">
        <v>206</v>
      </c>
      <c r="G124" s="23" t="s">
        <v>194</v>
      </c>
      <c r="H124" s="23"/>
    </row>
    <row r="125" spans="1:8" s="1" customFormat="1" hidden="1" x14ac:dyDescent="0.3">
      <c r="A125" s="10">
        <v>24315494100</v>
      </c>
      <c r="B125" s="1" t="s">
        <v>111</v>
      </c>
      <c r="C125" s="4">
        <v>80</v>
      </c>
      <c r="D125" s="13" t="s">
        <v>217</v>
      </c>
      <c r="E125" s="35">
        <v>45797</v>
      </c>
      <c r="F125" s="1" t="s">
        <v>198</v>
      </c>
    </row>
    <row r="126" spans="1:8" s="1" customFormat="1" hidden="1" x14ac:dyDescent="0.3">
      <c r="A126" s="10">
        <v>93552335153</v>
      </c>
      <c r="B126" s="1" t="s">
        <v>112</v>
      </c>
      <c r="C126" s="4">
        <v>120</v>
      </c>
      <c r="D126" s="13" t="s">
        <v>217</v>
      </c>
      <c r="E126" s="35">
        <v>45791</v>
      </c>
      <c r="F126" s="1" t="s">
        <v>198</v>
      </c>
    </row>
    <row r="127" spans="1:8" s="5" customFormat="1" hidden="1" x14ac:dyDescent="0.3">
      <c r="A127" s="10">
        <v>5831482120</v>
      </c>
      <c r="B127" s="1" t="s">
        <v>113</v>
      </c>
      <c r="C127" s="4">
        <v>200</v>
      </c>
      <c r="D127" s="13" t="s">
        <v>217</v>
      </c>
      <c r="E127" s="35">
        <v>45811</v>
      </c>
      <c r="F127" s="1" t="s">
        <v>198</v>
      </c>
      <c r="G127" s="1"/>
      <c r="H127" s="1"/>
    </row>
    <row r="128" spans="1:8" s="3" customFormat="1" hidden="1" x14ac:dyDescent="0.3">
      <c r="A128" s="10">
        <v>3122161141</v>
      </c>
      <c r="B128" s="1" t="s">
        <v>114</v>
      </c>
      <c r="C128" s="4">
        <v>150</v>
      </c>
      <c r="D128" s="13" t="s">
        <v>267</v>
      </c>
      <c r="E128" s="35">
        <v>45807</v>
      </c>
      <c r="F128" s="1" t="s">
        <v>198</v>
      </c>
      <c r="G128" s="1"/>
      <c r="H128" s="1"/>
    </row>
    <row r="129" spans="1:8" s="1" customFormat="1" hidden="1" x14ac:dyDescent="0.3">
      <c r="A129" s="10">
        <v>3336311101</v>
      </c>
      <c r="B129" s="1" t="s">
        <v>115</v>
      </c>
      <c r="C129" s="4">
        <v>200</v>
      </c>
      <c r="D129" s="13" t="s">
        <v>217</v>
      </c>
      <c r="E129" s="35">
        <v>45813</v>
      </c>
      <c r="F129" s="1" t="s">
        <v>198</v>
      </c>
      <c r="G129" s="1" t="s">
        <v>207</v>
      </c>
    </row>
    <row r="130" spans="1:8" s="1" customFormat="1" hidden="1" x14ac:dyDescent="0.3">
      <c r="A130" s="10">
        <v>10400621134</v>
      </c>
      <c r="B130" s="1" t="s">
        <v>116</v>
      </c>
      <c r="C130" s="4">
        <v>150</v>
      </c>
      <c r="D130" s="13" t="s">
        <v>217</v>
      </c>
      <c r="E130" s="35">
        <v>45804</v>
      </c>
      <c r="F130" s="1" t="s">
        <v>198</v>
      </c>
    </row>
    <row r="131" spans="1:8" s="1" customFormat="1" hidden="1" x14ac:dyDescent="0.3">
      <c r="A131" s="32">
        <v>87530627104</v>
      </c>
      <c r="B131" s="8" t="s">
        <v>222</v>
      </c>
      <c r="C131" s="9">
        <v>200</v>
      </c>
      <c r="D131" s="33" t="s">
        <v>217</v>
      </c>
      <c r="E131" s="34">
        <v>45815</v>
      </c>
      <c r="F131" s="8" t="s">
        <v>198</v>
      </c>
      <c r="G131" s="8"/>
      <c r="H131" s="8"/>
    </row>
    <row r="132" spans="1:8" s="3" customFormat="1" hidden="1" x14ac:dyDescent="0.3">
      <c r="A132" s="10">
        <v>4649519179</v>
      </c>
      <c r="B132" s="1" t="s">
        <v>117</v>
      </c>
      <c r="C132" s="4">
        <v>200</v>
      </c>
      <c r="D132" s="13" t="s">
        <v>217</v>
      </c>
      <c r="E132" s="35">
        <v>45803</v>
      </c>
      <c r="F132" s="1" t="s">
        <v>198</v>
      </c>
      <c r="G132" s="1"/>
      <c r="H132" s="1"/>
    </row>
    <row r="133" spans="1:8" s="1" customFormat="1" hidden="1" x14ac:dyDescent="0.3">
      <c r="A133" s="11">
        <v>87822970100</v>
      </c>
      <c r="B133" s="3" t="s">
        <v>118</v>
      </c>
      <c r="C133" s="7">
        <v>150</v>
      </c>
      <c r="D133" s="14" t="s">
        <v>267</v>
      </c>
      <c r="E133" s="34">
        <v>45814</v>
      </c>
      <c r="F133" s="3" t="s">
        <v>198</v>
      </c>
      <c r="G133" s="3"/>
      <c r="H133" s="3"/>
    </row>
    <row r="134" spans="1:8" s="3" customFormat="1" hidden="1" x14ac:dyDescent="0.3">
      <c r="A134" s="12">
        <v>70378383140</v>
      </c>
      <c r="B134" s="5" t="s">
        <v>119</v>
      </c>
      <c r="C134" s="6">
        <v>250</v>
      </c>
      <c r="D134" s="15" t="s">
        <v>217</v>
      </c>
      <c r="E134" s="39">
        <v>45814</v>
      </c>
      <c r="F134" s="5" t="s">
        <v>198</v>
      </c>
      <c r="G134" s="5" t="s">
        <v>306</v>
      </c>
      <c r="H134" s="5"/>
    </row>
    <row r="135" spans="1:8" s="1" customFormat="1" x14ac:dyDescent="0.3">
      <c r="A135" s="22">
        <v>94465649134</v>
      </c>
      <c r="B135" s="23" t="s">
        <v>120</v>
      </c>
      <c r="C135" s="24">
        <v>0</v>
      </c>
      <c r="D135" s="25"/>
      <c r="E135" s="37"/>
      <c r="F135" s="23" t="s">
        <v>198</v>
      </c>
      <c r="G135" s="23" t="s">
        <v>195</v>
      </c>
      <c r="H135" s="23"/>
    </row>
    <row r="136" spans="1:8" s="1" customFormat="1" hidden="1" x14ac:dyDescent="0.3">
      <c r="A136" s="10">
        <v>56543646187</v>
      </c>
      <c r="B136" s="1" t="s">
        <v>121</v>
      </c>
      <c r="C136" s="4">
        <v>250</v>
      </c>
      <c r="D136" s="13" t="s">
        <v>217</v>
      </c>
      <c r="E136" s="35">
        <v>45817</v>
      </c>
      <c r="F136" s="1" t="s">
        <v>198</v>
      </c>
    </row>
    <row r="137" spans="1:8" s="3" customFormat="1" hidden="1" x14ac:dyDescent="0.3">
      <c r="A137" s="11">
        <v>79618065634</v>
      </c>
      <c r="B137" s="3" t="s">
        <v>122</v>
      </c>
      <c r="C137" s="7">
        <v>150</v>
      </c>
      <c r="D137" s="14" t="s">
        <v>217</v>
      </c>
      <c r="E137" s="34">
        <v>45817</v>
      </c>
      <c r="F137" s="3" t="s">
        <v>198</v>
      </c>
      <c r="G137" s="3" t="s">
        <v>193</v>
      </c>
      <c r="H137" s="3" t="s">
        <v>197</v>
      </c>
    </row>
    <row r="138" spans="1:8" s="1" customFormat="1" hidden="1" x14ac:dyDescent="0.3">
      <c r="A138" s="10">
        <v>80086160168</v>
      </c>
      <c r="B138" s="1" t="s">
        <v>123</v>
      </c>
      <c r="C138" s="4">
        <v>120</v>
      </c>
      <c r="D138" s="13" t="s">
        <v>217</v>
      </c>
      <c r="E138" s="35">
        <v>45797</v>
      </c>
      <c r="F138" s="1" t="s">
        <v>198</v>
      </c>
    </row>
    <row r="139" spans="1:8" s="1" customFormat="1" hidden="1" x14ac:dyDescent="0.3">
      <c r="A139" s="10">
        <v>48628557172</v>
      </c>
      <c r="B139" s="1" t="s">
        <v>124</v>
      </c>
      <c r="C139" s="4">
        <v>150</v>
      </c>
      <c r="D139" s="13" t="s">
        <v>217</v>
      </c>
      <c r="E139" s="35">
        <v>45806</v>
      </c>
      <c r="F139" s="1" t="s">
        <v>198</v>
      </c>
    </row>
    <row r="140" spans="1:8" s="5" customFormat="1" x14ac:dyDescent="0.3">
      <c r="A140" s="11">
        <v>476256194</v>
      </c>
      <c r="B140" s="3" t="s">
        <v>125</v>
      </c>
      <c r="C140" s="7">
        <v>0</v>
      </c>
      <c r="D140" s="14"/>
      <c r="E140" s="34"/>
      <c r="F140" s="3" t="s">
        <v>198</v>
      </c>
      <c r="G140" s="3" t="s">
        <v>195</v>
      </c>
      <c r="H140" s="3"/>
    </row>
    <row r="141" spans="1:8" s="1" customFormat="1" hidden="1" x14ac:dyDescent="0.3">
      <c r="A141" s="10">
        <v>63349620191</v>
      </c>
      <c r="B141" s="1" t="s">
        <v>126</v>
      </c>
      <c r="C141" s="4">
        <v>150</v>
      </c>
      <c r="D141" s="13" t="s">
        <v>264</v>
      </c>
      <c r="E141" s="35">
        <v>45750</v>
      </c>
      <c r="F141" s="1" t="s">
        <v>198</v>
      </c>
    </row>
    <row r="142" spans="1:8" s="23" customFormat="1" hidden="1" x14ac:dyDescent="0.3">
      <c r="A142" s="10">
        <v>86425137134</v>
      </c>
      <c r="B142" s="1" t="s">
        <v>127</v>
      </c>
      <c r="C142" s="4">
        <v>80</v>
      </c>
      <c r="D142" s="13" t="s">
        <v>217</v>
      </c>
      <c r="E142" s="35">
        <v>45789</v>
      </c>
      <c r="F142" s="1" t="s">
        <v>198</v>
      </c>
      <c r="G142" s="1" t="s">
        <v>196</v>
      </c>
      <c r="H142" s="1"/>
    </row>
    <row r="143" spans="1:8" s="1" customFormat="1" hidden="1" x14ac:dyDescent="0.3">
      <c r="A143" s="11">
        <v>70485965119</v>
      </c>
      <c r="B143" s="8" t="s">
        <v>247</v>
      </c>
      <c r="C143" s="9">
        <v>80</v>
      </c>
      <c r="D143" s="33" t="s">
        <v>217</v>
      </c>
      <c r="E143" s="40">
        <v>45775</v>
      </c>
      <c r="F143" s="8" t="s">
        <v>198</v>
      </c>
      <c r="G143" s="8" t="s">
        <v>274</v>
      </c>
      <c r="H143" s="8" t="s">
        <v>258</v>
      </c>
    </row>
    <row r="144" spans="1:8" s="1" customFormat="1" hidden="1" x14ac:dyDescent="0.3">
      <c r="A144" s="10">
        <v>3328047123</v>
      </c>
      <c r="B144" s="1" t="s">
        <v>128</v>
      </c>
      <c r="C144" s="4">
        <v>100</v>
      </c>
      <c r="D144" s="13" t="s">
        <v>217</v>
      </c>
      <c r="E144" s="35">
        <v>45807</v>
      </c>
      <c r="F144" s="1" t="s">
        <v>198</v>
      </c>
    </row>
    <row r="145" spans="1:8" s="1" customFormat="1" hidden="1" x14ac:dyDescent="0.3">
      <c r="A145" s="10">
        <v>71187022187</v>
      </c>
      <c r="B145" s="1" t="s">
        <v>129</v>
      </c>
      <c r="C145" s="4">
        <v>170</v>
      </c>
      <c r="D145" s="13" t="s">
        <v>217</v>
      </c>
      <c r="E145" s="35">
        <v>45797</v>
      </c>
      <c r="F145" s="1" t="s">
        <v>198</v>
      </c>
    </row>
    <row r="146" spans="1:8" s="1" customFormat="1" hidden="1" x14ac:dyDescent="0.3">
      <c r="A146" s="10">
        <v>96728299149</v>
      </c>
      <c r="B146" s="1" t="s">
        <v>130</v>
      </c>
      <c r="C146" s="4">
        <v>100</v>
      </c>
      <c r="D146" s="13" t="s">
        <v>279</v>
      </c>
      <c r="E146" s="35">
        <v>45796</v>
      </c>
      <c r="F146" s="1" t="s">
        <v>198</v>
      </c>
    </row>
    <row r="147" spans="1:8" s="1" customFormat="1" hidden="1" x14ac:dyDescent="0.3">
      <c r="A147" s="10">
        <v>298744163</v>
      </c>
      <c r="B147" s="1" t="s">
        <v>131</v>
      </c>
      <c r="C147" s="4">
        <v>200</v>
      </c>
      <c r="D147" s="13" t="s">
        <v>217</v>
      </c>
      <c r="E147" s="35">
        <v>45793</v>
      </c>
      <c r="F147" s="1" t="s">
        <v>198</v>
      </c>
    </row>
    <row r="148" spans="1:8" s="1" customFormat="1" hidden="1" x14ac:dyDescent="0.3">
      <c r="A148" s="10">
        <v>95602607153</v>
      </c>
      <c r="B148" s="1" t="s">
        <v>132</v>
      </c>
      <c r="C148" s="4">
        <v>150</v>
      </c>
      <c r="D148" s="13" t="s">
        <v>217</v>
      </c>
      <c r="E148" s="35">
        <v>45803</v>
      </c>
      <c r="F148" s="1" t="s">
        <v>198</v>
      </c>
    </row>
    <row r="149" spans="1:8" s="1" customFormat="1" hidden="1" x14ac:dyDescent="0.3">
      <c r="A149" s="10">
        <v>86397338134</v>
      </c>
      <c r="B149" s="1" t="s">
        <v>133</v>
      </c>
      <c r="C149" s="4">
        <v>150</v>
      </c>
      <c r="D149" s="13" t="s">
        <v>217</v>
      </c>
      <c r="E149" s="35">
        <v>45803</v>
      </c>
      <c r="F149" s="1" t="s">
        <v>198</v>
      </c>
    </row>
    <row r="150" spans="1:8" s="3" customFormat="1" hidden="1" x14ac:dyDescent="0.3">
      <c r="A150" s="12">
        <v>75644800172</v>
      </c>
      <c r="B150" s="5" t="s">
        <v>234</v>
      </c>
      <c r="C150" s="6">
        <v>200</v>
      </c>
      <c r="D150" s="15" t="s">
        <v>217</v>
      </c>
      <c r="E150" s="39">
        <v>45791</v>
      </c>
      <c r="F150" s="5" t="s">
        <v>198</v>
      </c>
      <c r="G150" s="5"/>
      <c r="H150" s="5"/>
    </row>
    <row r="151" spans="1:8" s="3" customFormat="1" hidden="1" x14ac:dyDescent="0.3">
      <c r="A151" s="10">
        <v>7130228172</v>
      </c>
      <c r="B151" s="1" t="s">
        <v>134</v>
      </c>
      <c r="C151" s="4">
        <v>600</v>
      </c>
      <c r="D151" s="13" t="s">
        <v>217</v>
      </c>
      <c r="E151" s="35">
        <v>45786</v>
      </c>
      <c r="F151" s="1" t="s">
        <v>198</v>
      </c>
      <c r="G151" s="1"/>
      <c r="H151" s="1"/>
    </row>
    <row r="152" spans="1:8" s="1" customFormat="1" hidden="1" x14ac:dyDescent="0.3">
      <c r="A152" s="10">
        <v>8303789104</v>
      </c>
      <c r="B152" s="1" t="s">
        <v>135</v>
      </c>
      <c r="C152" s="4">
        <v>250</v>
      </c>
      <c r="D152" s="13" t="s">
        <v>279</v>
      </c>
      <c r="E152" s="35">
        <v>45779</v>
      </c>
      <c r="F152" s="1" t="s">
        <v>198</v>
      </c>
    </row>
    <row r="153" spans="1:8" s="1" customFormat="1" hidden="1" x14ac:dyDescent="0.3">
      <c r="A153" s="32">
        <v>89229193100</v>
      </c>
      <c r="B153" s="8" t="s">
        <v>226</v>
      </c>
      <c r="C153" s="9">
        <v>150</v>
      </c>
      <c r="D153" s="33" t="s">
        <v>217</v>
      </c>
      <c r="E153" s="34">
        <v>45806</v>
      </c>
      <c r="F153" s="8" t="s">
        <v>198</v>
      </c>
      <c r="H153" s="8"/>
    </row>
    <row r="154" spans="1:8" s="1" customFormat="1" hidden="1" x14ac:dyDescent="0.3">
      <c r="A154" s="11">
        <v>85721557168</v>
      </c>
      <c r="B154" s="3" t="s">
        <v>136</v>
      </c>
      <c r="C154" s="7">
        <v>100</v>
      </c>
      <c r="D154" s="14" t="s">
        <v>217</v>
      </c>
      <c r="E154" s="34">
        <v>45800</v>
      </c>
      <c r="F154" s="3" t="s">
        <v>198</v>
      </c>
      <c r="G154" s="3" t="s">
        <v>193</v>
      </c>
      <c r="H154" s="3" t="s">
        <v>208</v>
      </c>
    </row>
    <row r="155" spans="1:8" s="5" customFormat="1" x14ac:dyDescent="0.3">
      <c r="A155" s="32">
        <v>4018856156</v>
      </c>
      <c r="B155" s="8" t="s">
        <v>233</v>
      </c>
      <c r="C155" s="9">
        <v>0</v>
      </c>
      <c r="D155" s="33"/>
      <c r="E155" s="34"/>
      <c r="F155" s="8" t="s">
        <v>198</v>
      </c>
      <c r="H155" s="8"/>
    </row>
    <row r="156" spans="1:8" s="1" customFormat="1" hidden="1" x14ac:dyDescent="0.3">
      <c r="A156" s="10">
        <v>11749199149</v>
      </c>
      <c r="B156" s="1" t="s">
        <v>137</v>
      </c>
      <c r="C156" s="4">
        <v>1000</v>
      </c>
      <c r="D156" s="13" t="s">
        <v>279</v>
      </c>
      <c r="E156" s="35">
        <v>45838</v>
      </c>
      <c r="F156" s="1" t="s">
        <v>198</v>
      </c>
      <c r="G156" s="1" t="s">
        <v>276</v>
      </c>
    </row>
    <row r="157" spans="1:8" s="3" customFormat="1" hidden="1" x14ac:dyDescent="0.3">
      <c r="A157" s="11">
        <v>14345269172</v>
      </c>
      <c r="B157" s="3" t="s">
        <v>138</v>
      </c>
      <c r="C157" s="7">
        <v>350</v>
      </c>
      <c r="D157" s="14" t="s">
        <v>279</v>
      </c>
      <c r="E157" s="34">
        <v>45801</v>
      </c>
      <c r="F157" s="3" t="s">
        <v>198</v>
      </c>
      <c r="G157" s="3" t="s">
        <v>209</v>
      </c>
    </row>
    <row r="158" spans="1:8" s="3" customFormat="1" hidden="1" x14ac:dyDescent="0.3">
      <c r="A158" s="10">
        <v>12346055115</v>
      </c>
      <c r="B158" s="1" t="s">
        <v>139</v>
      </c>
      <c r="C158" s="4">
        <v>400</v>
      </c>
      <c r="D158" s="13" t="s">
        <v>217</v>
      </c>
      <c r="E158" s="35">
        <v>45771</v>
      </c>
      <c r="F158" s="1" t="s">
        <v>198</v>
      </c>
      <c r="G158" s="1" t="s">
        <v>273</v>
      </c>
      <c r="H158" s="1"/>
    </row>
    <row r="159" spans="1:8" hidden="1" x14ac:dyDescent="0.3">
      <c r="A159" s="10">
        <v>95607072134</v>
      </c>
      <c r="B159" s="1" t="s">
        <v>140</v>
      </c>
      <c r="C159" s="4">
        <v>220</v>
      </c>
      <c r="D159" s="13" t="s">
        <v>217</v>
      </c>
      <c r="E159" s="35">
        <v>45779</v>
      </c>
      <c r="F159" s="1" t="s">
        <v>198</v>
      </c>
      <c r="G159" s="1"/>
      <c r="H159" s="1"/>
    </row>
    <row r="160" spans="1:8" s="1" customFormat="1" x14ac:dyDescent="0.3">
      <c r="A160" s="11">
        <v>88292304134</v>
      </c>
      <c r="B160" s="3" t="s">
        <v>141</v>
      </c>
      <c r="C160" s="7">
        <v>200</v>
      </c>
      <c r="D160" s="14"/>
      <c r="E160" s="34"/>
      <c r="F160" s="3" t="s">
        <v>198</v>
      </c>
      <c r="G160" s="3"/>
      <c r="H160" s="3"/>
    </row>
    <row r="161" spans="1:8" s="23" customFormat="1" hidden="1" x14ac:dyDescent="0.3">
      <c r="A161" s="10">
        <v>6354621179</v>
      </c>
      <c r="B161" s="1" t="s">
        <v>142</v>
      </c>
      <c r="C161" s="4">
        <v>200</v>
      </c>
      <c r="D161" s="13" t="s">
        <v>217</v>
      </c>
      <c r="E161" s="35">
        <v>45798</v>
      </c>
      <c r="F161" s="1" t="s">
        <v>198</v>
      </c>
      <c r="G161" s="1" t="s">
        <v>301</v>
      </c>
      <c r="H161" s="1"/>
    </row>
    <row r="162" spans="1:8" s="1" customFormat="1" hidden="1" x14ac:dyDescent="0.3">
      <c r="A162" s="32">
        <v>63112256115</v>
      </c>
      <c r="B162" s="8" t="s">
        <v>143</v>
      </c>
      <c r="C162" s="9">
        <v>200</v>
      </c>
      <c r="D162" s="33" t="s">
        <v>217</v>
      </c>
      <c r="E162" s="40">
        <v>45799</v>
      </c>
      <c r="F162" s="8" t="s">
        <v>203</v>
      </c>
      <c r="G162" s="8" t="s">
        <v>313</v>
      </c>
      <c r="H162" s="8"/>
    </row>
    <row r="163" spans="1:8" s="3" customFormat="1" hidden="1" x14ac:dyDescent="0.3">
      <c r="A163" s="10">
        <v>72788160178</v>
      </c>
      <c r="B163" s="1" t="s">
        <v>144</v>
      </c>
      <c r="C163" s="4">
        <v>250</v>
      </c>
      <c r="D163" s="13" t="s">
        <v>217</v>
      </c>
      <c r="E163" s="35">
        <v>45755</v>
      </c>
      <c r="F163" s="1" t="s">
        <v>198</v>
      </c>
      <c r="G163" s="1"/>
      <c r="H163" s="1"/>
    </row>
    <row r="164" spans="1:8" s="3" customFormat="1" hidden="1" x14ac:dyDescent="0.3">
      <c r="A164" s="12">
        <v>61125105</v>
      </c>
      <c r="B164" s="5" t="s">
        <v>145</v>
      </c>
      <c r="C164" s="6">
        <v>100</v>
      </c>
      <c r="D164" s="15" t="s">
        <v>217</v>
      </c>
      <c r="E164" s="39">
        <v>45859</v>
      </c>
      <c r="F164" s="5" t="s">
        <v>198</v>
      </c>
      <c r="G164" s="5"/>
      <c r="H164" s="5"/>
    </row>
    <row r="165" spans="1:8" s="3" customFormat="1" hidden="1" x14ac:dyDescent="0.3">
      <c r="A165" s="10">
        <v>3692017103</v>
      </c>
      <c r="B165" s="1" t="s">
        <v>146</v>
      </c>
      <c r="C165" s="4">
        <v>250</v>
      </c>
      <c r="D165" s="13" t="s">
        <v>217</v>
      </c>
      <c r="E165" s="35">
        <v>45803</v>
      </c>
      <c r="F165" s="1" t="s">
        <v>198</v>
      </c>
      <c r="G165" s="1"/>
      <c r="H165" s="1"/>
    </row>
    <row r="166" spans="1:8" s="1" customFormat="1" hidden="1" x14ac:dyDescent="0.3">
      <c r="A166" s="22">
        <v>837185165</v>
      </c>
      <c r="B166" s="23" t="s">
        <v>147</v>
      </c>
      <c r="C166" s="24">
        <v>200</v>
      </c>
      <c r="D166" s="25" t="s">
        <v>217</v>
      </c>
      <c r="E166" s="37">
        <v>45797</v>
      </c>
      <c r="F166" s="23" t="s">
        <v>198</v>
      </c>
      <c r="G166" s="23" t="s">
        <v>232</v>
      </c>
      <c r="H166" s="23"/>
    </row>
    <row r="167" spans="1:8" s="1" customFormat="1" hidden="1" x14ac:dyDescent="0.3">
      <c r="A167" s="10">
        <v>85618250144</v>
      </c>
      <c r="B167" s="1" t="s">
        <v>148</v>
      </c>
      <c r="C167" s="4">
        <v>600</v>
      </c>
      <c r="D167" s="13" t="s">
        <v>217</v>
      </c>
      <c r="E167" s="35">
        <v>45811</v>
      </c>
      <c r="F167" s="1" t="s">
        <v>198</v>
      </c>
      <c r="G167" s="1" t="s">
        <v>273</v>
      </c>
    </row>
    <row r="168" spans="1:8" s="1" customFormat="1" hidden="1" x14ac:dyDescent="0.3">
      <c r="A168" s="10">
        <v>93187122</v>
      </c>
      <c r="B168" s="1" t="s">
        <v>149</v>
      </c>
      <c r="C168" s="4">
        <v>300</v>
      </c>
      <c r="D168" s="13" t="s">
        <v>217</v>
      </c>
      <c r="E168" s="35"/>
      <c r="F168" s="1" t="s">
        <v>210</v>
      </c>
    </row>
    <row r="169" spans="1:8" s="3" customFormat="1" hidden="1" x14ac:dyDescent="0.3">
      <c r="A169" s="32">
        <v>36717414812</v>
      </c>
      <c r="B169" s="8" t="s">
        <v>229</v>
      </c>
      <c r="C169" s="9">
        <v>700</v>
      </c>
      <c r="D169" s="33" t="s">
        <v>217</v>
      </c>
      <c r="E169" s="34">
        <v>45811</v>
      </c>
      <c r="F169" s="8" t="s">
        <v>198</v>
      </c>
      <c r="G169" s="1"/>
      <c r="H169" s="8"/>
    </row>
    <row r="170" spans="1:8" s="1" customFormat="1" hidden="1" x14ac:dyDescent="0.3">
      <c r="A170" s="32">
        <v>926301110</v>
      </c>
      <c r="B170" s="8" t="s">
        <v>150</v>
      </c>
      <c r="C170" s="9">
        <v>500</v>
      </c>
      <c r="D170" s="33"/>
      <c r="E170" s="40"/>
      <c r="F170" s="8" t="s">
        <v>203</v>
      </c>
      <c r="G170" s="8"/>
      <c r="H170" s="8"/>
    </row>
    <row r="171" spans="1:8" s="1" customFormat="1" hidden="1" x14ac:dyDescent="0.3">
      <c r="A171" s="10">
        <v>55673023120</v>
      </c>
      <c r="B171" s="1" t="s">
        <v>151</v>
      </c>
      <c r="C171" s="4">
        <v>100</v>
      </c>
      <c r="D171" s="13" t="s">
        <v>217</v>
      </c>
      <c r="E171" s="35">
        <v>45745</v>
      </c>
      <c r="F171" s="1" t="s">
        <v>198</v>
      </c>
    </row>
    <row r="172" spans="1:8" s="3" customFormat="1" hidden="1" x14ac:dyDescent="0.3">
      <c r="A172" s="10">
        <v>2895704171</v>
      </c>
      <c r="B172" s="1" t="s">
        <v>152</v>
      </c>
      <c r="C172" s="4">
        <v>150</v>
      </c>
      <c r="D172" s="13" t="s">
        <v>217</v>
      </c>
      <c r="E172" s="35">
        <v>45814</v>
      </c>
      <c r="F172" s="1" t="s">
        <v>198</v>
      </c>
      <c r="G172" s="1" t="s">
        <v>211</v>
      </c>
      <c r="H172" s="1"/>
    </row>
    <row r="173" spans="1:8" s="23" customFormat="1" hidden="1" x14ac:dyDescent="0.3">
      <c r="A173" s="10">
        <v>95837485104</v>
      </c>
      <c r="B173" s="1" t="s">
        <v>153</v>
      </c>
      <c r="C173" s="4">
        <v>200</v>
      </c>
      <c r="D173" s="13" t="s">
        <v>217</v>
      </c>
      <c r="E173" s="35">
        <v>45778</v>
      </c>
      <c r="F173" s="1" t="s">
        <v>198</v>
      </c>
      <c r="G173" s="1"/>
      <c r="H173" s="1"/>
    </row>
    <row r="174" spans="1:8" s="3" customFormat="1" hidden="1" x14ac:dyDescent="0.3">
      <c r="A174" s="11">
        <v>40973018100</v>
      </c>
      <c r="B174" s="3" t="s">
        <v>154</v>
      </c>
      <c r="C174" s="7">
        <v>200</v>
      </c>
      <c r="D174" s="14" t="s">
        <v>217</v>
      </c>
      <c r="E174" s="34">
        <v>45775</v>
      </c>
      <c r="F174" s="3" t="s">
        <v>198</v>
      </c>
    </row>
    <row r="175" spans="1:8" s="3" customFormat="1" hidden="1" x14ac:dyDescent="0.3">
      <c r="A175" s="10">
        <v>1138063100</v>
      </c>
      <c r="B175" s="1" t="s">
        <v>155</v>
      </c>
      <c r="C175" s="4">
        <v>120</v>
      </c>
      <c r="D175" s="13" t="s">
        <v>217</v>
      </c>
      <c r="E175" s="35">
        <v>45790</v>
      </c>
      <c r="F175" s="1" t="s">
        <v>198</v>
      </c>
      <c r="G175" s="1"/>
      <c r="H175" s="1"/>
    </row>
    <row r="176" spans="1:8" s="3" customFormat="1" x14ac:dyDescent="0.3">
      <c r="A176" s="11">
        <v>781579511</v>
      </c>
      <c r="B176" s="3" t="s">
        <v>156</v>
      </c>
      <c r="C176" s="7">
        <v>0</v>
      </c>
      <c r="D176" s="14"/>
      <c r="E176" s="34"/>
      <c r="F176" s="3" t="s">
        <v>198</v>
      </c>
      <c r="G176" s="3" t="s">
        <v>195</v>
      </c>
    </row>
    <row r="177" spans="1:8" s="1" customFormat="1" hidden="1" x14ac:dyDescent="0.3">
      <c r="A177" s="10">
        <v>99787652120</v>
      </c>
      <c r="B177" s="1" t="s">
        <v>157</v>
      </c>
      <c r="C177" s="4">
        <v>150</v>
      </c>
      <c r="D177" s="13" t="s">
        <v>217</v>
      </c>
      <c r="E177" s="35">
        <v>45735</v>
      </c>
      <c r="F177" s="1" t="s">
        <v>198</v>
      </c>
    </row>
    <row r="178" spans="1:8" s="1" customFormat="1" hidden="1" x14ac:dyDescent="0.3">
      <c r="A178" s="11">
        <v>81352441187</v>
      </c>
      <c r="B178" s="3" t="s">
        <v>158</v>
      </c>
      <c r="C178" s="7">
        <v>500</v>
      </c>
      <c r="D178" s="14" t="s">
        <v>217</v>
      </c>
      <c r="E178" s="34">
        <v>45814</v>
      </c>
      <c r="F178" s="3" t="s">
        <v>198</v>
      </c>
      <c r="G178" s="3"/>
      <c r="H178" s="3"/>
    </row>
    <row r="179" spans="1:8" s="1" customFormat="1" hidden="1" x14ac:dyDescent="0.3">
      <c r="A179" s="10">
        <v>1234124122</v>
      </c>
      <c r="B179" s="1" t="s">
        <v>159</v>
      </c>
      <c r="C179" s="4">
        <v>60</v>
      </c>
      <c r="D179" s="13" t="s">
        <v>217</v>
      </c>
      <c r="E179" s="35">
        <v>45861</v>
      </c>
      <c r="F179" s="1" t="s">
        <v>198</v>
      </c>
    </row>
    <row r="180" spans="1:8" s="3" customFormat="1" hidden="1" x14ac:dyDescent="0.3">
      <c r="A180" s="10">
        <v>4389945157</v>
      </c>
      <c r="B180" s="1" t="s">
        <v>160</v>
      </c>
      <c r="C180" s="4">
        <v>250</v>
      </c>
      <c r="D180" s="13" t="s">
        <v>217</v>
      </c>
      <c r="E180" s="35">
        <v>45750</v>
      </c>
      <c r="F180" s="1" t="s">
        <v>198</v>
      </c>
      <c r="G180" s="1"/>
      <c r="H180" s="1"/>
    </row>
    <row r="181" spans="1:8" s="1" customFormat="1" hidden="1" x14ac:dyDescent="0.3">
      <c r="A181" s="12">
        <v>7367161733</v>
      </c>
      <c r="B181" s="5" t="s">
        <v>161</v>
      </c>
      <c r="C181" s="6">
        <v>200</v>
      </c>
      <c r="D181" s="15" t="s">
        <v>217</v>
      </c>
      <c r="E181" s="39">
        <v>45807</v>
      </c>
      <c r="F181" s="5" t="s">
        <v>198</v>
      </c>
      <c r="G181" s="5" t="s">
        <v>261</v>
      </c>
      <c r="H181" s="5"/>
    </row>
    <row r="182" spans="1:8" s="23" customFormat="1" hidden="1" x14ac:dyDescent="0.3">
      <c r="A182" s="10">
        <v>2254894145</v>
      </c>
      <c r="B182" s="1" t="s">
        <v>162</v>
      </c>
      <c r="C182" s="4">
        <v>250</v>
      </c>
      <c r="D182" s="13" t="s">
        <v>217</v>
      </c>
      <c r="E182" s="35">
        <v>45806</v>
      </c>
      <c r="F182" s="1" t="s">
        <v>198</v>
      </c>
      <c r="G182" s="1" t="s">
        <v>212</v>
      </c>
      <c r="H182" s="1"/>
    </row>
    <row r="183" spans="1:8" s="3" customFormat="1" hidden="1" x14ac:dyDescent="0.3">
      <c r="A183" s="11">
        <v>59684682115</v>
      </c>
      <c r="B183" s="8" t="s">
        <v>248</v>
      </c>
      <c r="C183" s="9">
        <v>100</v>
      </c>
      <c r="D183" s="33" t="s">
        <v>217</v>
      </c>
      <c r="E183" s="40">
        <v>45807</v>
      </c>
      <c r="F183" s="8" t="s">
        <v>198</v>
      </c>
      <c r="G183" s="8" t="s">
        <v>259</v>
      </c>
      <c r="H183" s="8" t="s">
        <v>258</v>
      </c>
    </row>
    <row r="184" spans="1:8" hidden="1" x14ac:dyDescent="0.3">
      <c r="A184" s="11">
        <v>5030760660</v>
      </c>
      <c r="B184" s="3" t="s">
        <v>163</v>
      </c>
      <c r="C184" s="7">
        <v>150</v>
      </c>
      <c r="D184" s="14" t="s">
        <v>217</v>
      </c>
      <c r="E184" s="34">
        <v>45817</v>
      </c>
      <c r="F184" s="3" t="s">
        <v>198</v>
      </c>
      <c r="G184" s="3" t="s">
        <v>193</v>
      </c>
      <c r="H184" s="3" t="s">
        <v>213</v>
      </c>
    </row>
    <row r="185" spans="1:8" hidden="1" x14ac:dyDescent="0.3">
      <c r="A185" s="11">
        <v>32388748100</v>
      </c>
      <c r="B185" s="3" t="s">
        <v>164</v>
      </c>
      <c r="C185" s="7">
        <v>200</v>
      </c>
      <c r="D185" s="14" t="s">
        <v>217</v>
      </c>
      <c r="E185" s="34">
        <v>45815</v>
      </c>
      <c r="F185" s="3" t="s">
        <v>198</v>
      </c>
      <c r="G185" s="3"/>
      <c r="H185" s="3"/>
    </row>
    <row r="186" spans="1:8" x14ac:dyDescent="0.3">
      <c r="A186" s="32">
        <v>589048163</v>
      </c>
      <c r="B186" s="8" t="s">
        <v>165</v>
      </c>
      <c r="C186" s="9">
        <v>0</v>
      </c>
      <c r="E186" s="40"/>
      <c r="F186" s="8" t="s">
        <v>198</v>
      </c>
      <c r="G186" s="8" t="s">
        <v>193</v>
      </c>
    </row>
    <row r="187" spans="1:8" hidden="1" x14ac:dyDescent="0.3">
      <c r="A187" s="10">
        <v>26263432187</v>
      </c>
      <c r="B187" s="1" t="s">
        <v>166</v>
      </c>
      <c r="C187" s="4">
        <v>350</v>
      </c>
      <c r="D187" s="13" t="s">
        <v>217</v>
      </c>
      <c r="E187" s="35">
        <v>45755</v>
      </c>
      <c r="F187" s="1" t="s">
        <v>198</v>
      </c>
      <c r="G187" s="1" t="s">
        <v>265</v>
      </c>
      <c r="H187" s="1"/>
    </row>
    <row r="188" spans="1:8" hidden="1" x14ac:dyDescent="0.3">
      <c r="A188" s="32">
        <v>27842819149</v>
      </c>
      <c r="B188" s="8" t="s">
        <v>219</v>
      </c>
      <c r="C188" s="9">
        <v>220</v>
      </c>
      <c r="D188" s="33" t="s">
        <v>217</v>
      </c>
      <c r="E188" s="34">
        <v>45749</v>
      </c>
      <c r="F188" s="8" t="s">
        <v>198</v>
      </c>
      <c r="G188" s="23"/>
    </row>
    <row r="189" spans="1:8" x14ac:dyDescent="0.3">
      <c r="A189" s="10">
        <v>35473860125</v>
      </c>
      <c r="B189" s="1" t="s">
        <v>167</v>
      </c>
      <c r="C189" s="4">
        <v>100</v>
      </c>
      <c r="D189" s="13" t="s">
        <v>217</v>
      </c>
      <c r="E189" s="35">
        <v>45887</v>
      </c>
      <c r="F189" s="1" t="s">
        <v>198</v>
      </c>
      <c r="G189" s="1" t="s">
        <v>260</v>
      </c>
      <c r="H189" s="1"/>
    </row>
    <row r="190" spans="1:8" x14ac:dyDescent="0.3">
      <c r="A190" s="22">
        <v>79807151104</v>
      </c>
      <c r="B190" s="23" t="s">
        <v>168</v>
      </c>
      <c r="C190" s="24">
        <v>0</v>
      </c>
      <c r="D190" s="25"/>
      <c r="E190" s="37"/>
      <c r="F190" s="23" t="s">
        <v>198</v>
      </c>
      <c r="G190" s="23" t="s">
        <v>194</v>
      </c>
      <c r="H190" s="23"/>
    </row>
    <row r="191" spans="1:8" hidden="1" x14ac:dyDescent="0.3">
      <c r="A191" s="11">
        <v>6095046149</v>
      </c>
      <c r="B191" s="3" t="s">
        <v>169</v>
      </c>
      <c r="C191" s="7">
        <v>200</v>
      </c>
      <c r="D191" s="14" t="s">
        <v>279</v>
      </c>
      <c r="E191" s="34">
        <v>45804</v>
      </c>
      <c r="F191" s="3" t="s">
        <v>198</v>
      </c>
      <c r="G191" s="3"/>
      <c r="H191" s="3"/>
    </row>
    <row r="192" spans="1:8" hidden="1" x14ac:dyDescent="0.3">
      <c r="A192" s="11">
        <v>70613400100</v>
      </c>
      <c r="B192" s="3" t="s">
        <v>170</v>
      </c>
      <c r="C192" s="7">
        <v>200</v>
      </c>
      <c r="D192" s="14" t="s">
        <v>217</v>
      </c>
      <c r="E192" s="34">
        <v>45806</v>
      </c>
      <c r="F192" s="3" t="s">
        <v>198</v>
      </c>
      <c r="G192" s="3"/>
      <c r="H192" s="3"/>
    </row>
    <row r="193" spans="1:8" x14ac:dyDescent="0.3">
      <c r="A193" s="11">
        <v>83292861187</v>
      </c>
      <c r="B193" s="3" t="s">
        <v>171</v>
      </c>
      <c r="C193" s="7">
        <v>0</v>
      </c>
      <c r="D193" s="14"/>
      <c r="E193" s="34"/>
      <c r="F193" s="3" t="s">
        <v>198</v>
      </c>
      <c r="G193" s="3" t="s">
        <v>195</v>
      </c>
      <c r="H193" s="3"/>
    </row>
    <row r="194" spans="1:8" x14ac:dyDescent="0.3">
      <c r="A194" s="32">
        <v>59880805100</v>
      </c>
      <c r="B194" s="8" t="s">
        <v>224</v>
      </c>
      <c r="C194" s="9">
        <v>0</v>
      </c>
      <c r="E194" s="34"/>
      <c r="F194" s="8" t="s">
        <v>198</v>
      </c>
      <c r="G194" s="1"/>
    </row>
    <row r="195" spans="1:8" hidden="1" x14ac:dyDescent="0.3">
      <c r="A195" s="10">
        <v>21599122120</v>
      </c>
      <c r="B195" s="1" t="s">
        <v>172</v>
      </c>
      <c r="C195" s="4">
        <v>250</v>
      </c>
      <c r="D195" s="13" t="s">
        <v>217</v>
      </c>
      <c r="E195" s="35">
        <v>45798</v>
      </c>
      <c r="F195" s="1" t="s">
        <v>198</v>
      </c>
      <c r="G195" s="1"/>
      <c r="H195" s="1"/>
    </row>
    <row r="196" spans="1:8" hidden="1" x14ac:dyDescent="0.3">
      <c r="A196" s="10">
        <v>33573360149</v>
      </c>
      <c r="B196" s="1" t="s">
        <v>173</v>
      </c>
      <c r="C196" s="4">
        <v>120</v>
      </c>
      <c r="D196" s="13" t="s">
        <v>217</v>
      </c>
      <c r="E196" s="35">
        <v>45797</v>
      </c>
      <c r="F196" s="1" t="s">
        <v>198</v>
      </c>
      <c r="G196" s="1"/>
      <c r="H196" s="1"/>
    </row>
    <row r="197" spans="1:8" hidden="1" x14ac:dyDescent="0.3">
      <c r="A197" s="11">
        <v>3952842109</v>
      </c>
      <c r="B197" s="8" t="s">
        <v>249</v>
      </c>
      <c r="C197" s="9">
        <v>200</v>
      </c>
      <c r="D197" s="33" t="s">
        <v>217</v>
      </c>
      <c r="E197" s="35">
        <v>45808</v>
      </c>
      <c r="F197" s="8" t="s">
        <v>198</v>
      </c>
    </row>
    <row r="198" spans="1:8" hidden="1" x14ac:dyDescent="0.3">
      <c r="A198" s="10">
        <v>56713487149</v>
      </c>
      <c r="B198" s="1" t="s">
        <v>174</v>
      </c>
      <c r="C198" s="4">
        <v>432</v>
      </c>
      <c r="D198" s="26" t="s">
        <v>217</v>
      </c>
      <c r="E198" s="35">
        <v>45798</v>
      </c>
      <c r="F198" s="1" t="s">
        <v>198</v>
      </c>
      <c r="G198" s="1" t="s">
        <v>300</v>
      </c>
      <c r="H198" s="1"/>
    </row>
    <row r="199" spans="1:8" hidden="1" x14ac:dyDescent="0.3">
      <c r="A199" s="10">
        <v>504113143</v>
      </c>
      <c r="B199" s="1" t="s">
        <v>175</v>
      </c>
      <c r="C199" s="4">
        <v>100</v>
      </c>
      <c r="D199" s="13" t="s">
        <v>217</v>
      </c>
      <c r="E199" s="35">
        <v>45811</v>
      </c>
      <c r="F199" s="1" t="s">
        <v>198</v>
      </c>
      <c r="G199" s="1"/>
      <c r="H199" s="1"/>
    </row>
    <row r="200" spans="1:8" hidden="1" x14ac:dyDescent="0.3">
      <c r="A200" s="11">
        <v>69627460168</v>
      </c>
      <c r="B200" s="3" t="s">
        <v>176</v>
      </c>
      <c r="C200" s="7">
        <v>300</v>
      </c>
      <c r="D200" s="14" t="s">
        <v>217</v>
      </c>
      <c r="E200" s="34">
        <v>45805</v>
      </c>
      <c r="F200" s="3" t="s">
        <v>198</v>
      </c>
      <c r="G200" s="3" t="s">
        <v>214</v>
      </c>
      <c r="H200" s="3"/>
    </row>
    <row r="201" spans="1:8" hidden="1" x14ac:dyDescent="0.3">
      <c r="A201" s="11">
        <v>57727872172</v>
      </c>
      <c r="B201" s="3" t="s">
        <v>177</v>
      </c>
      <c r="C201" s="7">
        <v>150</v>
      </c>
      <c r="D201" s="14" t="s">
        <v>217</v>
      </c>
      <c r="E201" s="34">
        <v>45814</v>
      </c>
      <c r="F201" s="3" t="s">
        <v>198</v>
      </c>
      <c r="G201" s="3"/>
      <c r="H201" s="3"/>
    </row>
    <row r="202" spans="1:8" hidden="1" x14ac:dyDescent="0.3">
      <c r="A202" s="10">
        <v>74195352134</v>
      </c>
      <c r="B202" s="1" t="s">
        <v>178</v>
      </c>
      <c r="C202" s="4">
        <v>100</v>
      </c>
      <c r="D202" s="13" t="s">
        <v>217</v>
      </c>
      <c r="E202" s="35">
        <v>45755</v>
      </c>
      <c r="F202" s="1" t="s">
        <v>198</v>
      </c>
      <c r="G202" s="1"/>
      <c r="H202" s="1"/>
    </row>
    <row r="203" spans="1:8" hidden="1" x14ac:dyDescent="0.3">
      <c r="A203" s="10">
        <v>1475774117</v>
      </c>
      <c r="B203" s="1" t="s">
        <v>179</v>
      </c>
      <c r="C203" s="4">
        <v>120</v>
      </c>
      <c r="D203" s="13" t="s">
        <v>217</v>
      </c>
      <c r="E203" s="35">
        <v>45753</v>
      </c>
      <c r="F203" s="1" t="s">
        <v>198</v>
      </c>
      <c r="G203" s="1"/>
      <c r="H203" s="1"/>
    </row>
    <row r="204" spans="1:8" hidden="1" x14ac:dyDescent="0.3">
      <c r="A204" s="11">
        <v>25583760125</v>
      </c>
      <c r="B204" s="3" t="s">
        <v>180</v>
      </c>
      <c r="C204" s="7">
        <v>150</v>
      </c>
      <c r="D204" s="14" t="s">
        <v>267</v>
      </c>
      <c r="E204" s="34">
        <v>45815</v>
      </c>
      <c r="F204" s="3" t="s">
        <v>198</v>
      </c>
      <c r="G204" s="3"/>
      <c r="H204" s="3"/>
    </row>
    <row r="205" spans="1:8" hidden="1" x14ac:dyDescent="0.3">
      <c r="A205" s="11">
        <v>69091200197</v>
      </c>
      <c r="B205" s="8" t="s">
        <v>250</v>
      </c>
      <c r="C205" s="9">
        <v>100</v>
      </c>
      <c r="D205" s="33" t="s">
        <v>217</v>
      </c>
      <c r="E205" s="35">
        <v>45803</v>
      </c>
      <c r="F205" s="8" t="s">
        <v>198</v>
      </c>
    </row>
    <row r="206" spans="1:8" hidden="1" x14ac:dyDescent="0.3">
      <c r="A206" s="11">
        <v>3074505206</v>
      </c>
      <c r="B206" s="3" t="s">
        <v>181</v>
      </c>
      <c r="C206" s="7">
        <v>170</v>
      </c>
      <c r="D206" s="14" t="s">
        <v>217</v>
      </c>
      <c r="E206" s="34">
        <v>45796</v>
      </c>
      <c r="F206" s="3" t="s">
        <v>198</v>
      </c>
      <c r="G206" s="3" t="s">
        <v>232</v>
      </c>
      <c r="H206" s="3"/>
    </row>
    <row r="207" spans="1:8" hidden="1" x14ac:dyDescent="0.3">
      <c r="A207" s="11">
        <v>10603489850</v>
      </c>
      <c r="B207" s="3" t="s">
        <v>182</v>
      </c>
      <c r="C207" s="7">
        <v>100</v>
      </c>
      <c r="D207" s="14" t="s">
        <v>217</v>
      </c>
      <c r="E207" s="34">
        <v>45807</v>
      </c>
      <c r="F207" s="3" t="s">
        <v>198</v>
      </c>
      <c r="G207" s="3"/>
      <c r="H207" s="3"/>
    </row>
    <row r="208" spans="1:8" x14ac:dyDescent="0.3">
      <c r="A208" s="32">
        <v>83921150159</v>
      </c>
      <c r="B208" s="8" t="s">
        <v>228</v>
      </c>
      <c r="C208" s="9">
        <v>0</v>
      </c>
      <c r="E208" s="34"/>
      <c r="F208" s="8" t="s">
        <v>198</v>
      </c>
    </row>
    <row r="209" spans="1:50" x14ac:dyDescent="0.3">
      <c r="A209" s="11">
        <v>59941219168</v>
      </c>
      <c r="B209" s="8" t="s">
        <v>251</v>
      </c>
      <c r="C209" s="9">
        <v>0</v>
      </c>
      <c r="E209" s="35"/>
      <c r="F209" s="8" t="s">
        <v>198</v>
      </c>
    </row>
    <row r="210" spans="1:50" hidden="1" x14ac:dyDescent="0.3">
      <c r="A210" s="32">
        <v>94097330306</v>
      </c>
      <c r="B210" s="8" t="s">
        <v>236</v>
      </c>
      <c r="C210" s="9">
        <v>100</v>
      </c>
      <c r="D210" s="33" t="s">
        <v>217</v>
      </c>
      <c r="E210" s="34">
        <v>45811</v>
      </c>
      <c r="F210" s="8" t="s">
        <v>198</v>
      </c>
    </row>
    <row r="211" spans="1:50" hidden="1" x14ac:dyDescent="0.3">
      <c r="A211" s="10">
        <v>62166212115</v>
      </c>
      <c r="B211" s="1" t="s">
        <v>183</v>
      </c>
      <c r="C211" s="4">
        <v>150</v>
      </c>
      <c r="D211" s="13" t="s">
        <v>217</v>
      </c>
      <c r="E211" s="35">
        <v>45804</v>
      </c>
      <c r="F211" s="1" t="s">
        <v>198</v>
      </c>
      <c r="G211" s="1"/>
      <c r="H211" s="1"/>
    </row>
    <row r="212" spans="1:50" hidden="1" x14ac:dyDescent="0.3">
      <c r="A212" s="10">
        <v>30313198187</v>
      </c>
      <c r="B212" s="1" t="s">
        <v>184</v>
      </c>
      <c r="C212" s="4">
        <v>300</v>
      </c>
      <c r="D212" s="13" t="s">
        <v>217</v>
      </c>
      <c r="E212" s="35">
        <v>45756</v>
      </c>
      <c r="F212" s="1" t="s">
        <v>198</v>
      </c>
      <c r="G212" s="1"/>
      <c r="H212" s="1"/>
    </row>
    <row r="213" spans="1:50" hidden="1" x14ac:dyDescent="0.3">
      <c r="A213" s="27">
        <v>69439850191</v>
      </c>
      <c r="B213" s="28" t="s">
        <v>185</v>
      </c>
      <c r="C213" s="29">
        <v>150</v>
      </c>
      <c r="D213" s="30" t="s">
        <v>217</v>
      </c>
      <c r="E213" s="38">
        <v>45804</v>
      </c>
      <c r="F213" s="28" t="s">
        <v>198</v>
      </c>
      <c r="G213" s="28"/>
      <c r="H213" s="28"/>
    </row>
    <row r="214" spans="1:50" ht="15" hidden="1" customHeight="1" x14ac:dyDescent="0.3">
      <c r="A214" s="11">
        <v>1207759139</v>
      </c>
      <c r="B214" s="8" t="s">
        <v>252</v>
      </c>
      <c r="C214" s="9">
        <v>150</v>
      </c>
      <c r="F214" s="8" t="s">
        <v>203</v>
      </c>
    </row>
    <row r="215" spans="1:50" hidden="1" x14ac:dyDescent="0.3">
      <c r="A215" s="11">
        <v>1315681161</v>
      </c>
      <c r="B215" s="3" t="s">
        <v>186</v>
      </c>
      <c r="C215" s="7">
        <v>150</v>
      </c>
      <c r="D215" s="14" t="s">
        <v>217</v>
      </c>
      <c r="E215" s="34">
        <v>45814</v>
      </c>
      <c r="F215" s="3" t="s">
        <v>198</v>
      </c>
      <c r="G215" s="3"/>
      <c r="H215" s="3"/>
    </row>
    <row r="216" spans="1:50" hidden="1" x14ac:dyDescent="0.3">
      <c r="A216" s="10">
        <v>69921679104</v>
      </c>
      <c r="B216" s="1" t="s">
        <v>187</v>
      </c>
      <c r="C216" s="4">
        <v>200</v>
      </c>
      <c r="D216" s="13" t="s">
        <v>217</v>
      </c>
      <c r="E216" s="35">
        <v>45806</v>
      </c>
      <c r="F216" s="1" t="s">
        <v>198</v>
      </c>
      <c r="G216" s="1" t="s">
        <v>323</v>
      </c>
      <c r="H216" s="1"/>
    </row>
    <row r="217" spans="1:50" s="41" customFormat="1" hidden="1" x14ac:dyDescent="0.3">
      <c r="A217" s="11">
        <v>13131265191</v>
      </c>
      <c r="B217" s="8" t="s">
        <v>253</v>
      </c>
      <c r="C217" s="9">
        <v>70</v>
      </c>
      <c r="D217" s="33" t="s">
        <v>217</v>
      </c>
      <c r="E217" s="35">
        <v>45786</v>
      </c>
      <c r="F217" s="8" t="s">
        <v>198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</row>
    <row r="218" spans="1:50" x14ac:dyDescent="0.3">
      <c r="A218" s="32">
        <v>36074403104</v>
      </c>
      <c r="B218" s="8" t="s">
        <v>188</v>
      </c>
      <c r="C218" s="9">
        <v>0</v>
      </c>
      <c r="E218" s="40"/>
      <c r="F218" s="8" t="s">
        <v>198</v>
      </c>
      <c r="G218" s="8" t="s">
        <v>194</v>
      </c>
    </row>
    <row r="219" spans="1:50" x14ac:dyDescent="0.3">
      <c r="A219" s="22">
        <v>92183379120</v>
      </c>
      <c r="B219" s="23" t="s">
        <v>189</v>
      </c>
      <c r="C219" s="24">
        <v>0</v>
      </c>
      <c r="D219" s="25"/>
      <c r="E219" s="37"/>
      <c r="F219" s="23" t="s">
        <v>198</v>
      </c>
      <c r="G219" s="23" t="s">
        <v>194</v>
      </c>
      <c r="H219" s="23" t="s">
        <v>215</v>
      </c>
    </row>
    <row r="220" spans="1:50" x14ac:dyDescent="0.3">
      <c r="A220" s="11">
        <v>92604234653</v>
      </c>
      <c r="B220" s="3" t="s">
        <v>190</v>
      </c>
      <c r="C220" s="7">
        <v>150</v>
      </c>
      <c r="D220" s="14"/>
      <c r="E220" s="34"/>
      <c r="F220" s="3" t="s">
        <v>198</v>
      </c>
      <c r="G220" s="3"/>
      <c r="H220" s="3"/>
    </row>
    <row r="221" spans="1:50" x14ac:dyDescent="0.3">
      <c r="A221" s="11">
        <v>92606610644</v>
      </c>
      <c r="B221" s="8" t="s">
        <v>254</v>
      </c>
      <c r="C221" s="9">
        <v>150</v>
      </c>
      <c r="E221" s="34"/>
      <c r="F221" s="8" t="s">
        <v>198</v>
      </c>
    </row>
    <row r="222" spans="1:50" hidden="1" x14ac:dyDescent="0.3">
      <c r="A222" s="11">
        <v>9503673623</v>
      </c>
      <c r="B222" s="8" t="s">
        <v>191</v>
      </c>
      <c r="C222" s="9">
        <v>200</v>
      </c>
      <c r="D222" s="33" t="s">
        <v>217</v>
      </c>
      <c r="E222" s="34">
        <v>45813</v>
      </c>
      <c r="F222" s="8" t="s">
        <v>203</v>
      </c>
    </row>
    <row r="223" spans="1:50" hidden="1" x14ac:dyDescent="0.3">
      <c r="A223" s="32">
        <v>1108667112</v>
      </c>
      <c r="B223" s="8" t="s">
        <v>263</v>
      </c>
      <c r="C223" s="9">
        <v>150</v>
      </c>
      <c r="D223" s="33" t="s">
        <v>217</v>
      </c>
      <c r="E223" s="34">
        <v>45748</v>
      </c>
      <c r="F223" s="8" t="s">
        <v>198</v>
      </c>
      <c r="G223" s="8" t="s">
        <v>271</v>
      </c>
    </row>
    <row r="224" spans="1:50" hidden="1" x14ac:dyDescent="0.3">
      <c r="A224" s="32">
        <v>2304559131</v>
      </c>
      <c r="B224" s="8" t="s">
        <v>266</v>
      </c>
      <c r="C224" s="9">
        <v>150</v>
      </c>
      <c r="D224" s="33" t="s">
        <v>217</v>
      </c>
      <c r="E224" s="34">
        <v>45756</v>
      </c>
      <c r="F224" s="8" t="s">
        <v>198</v>
      </c>
      <c r="G224" s="8" t="s">
        <v>270</v>
      </c>
    </row>
    <row r="225" spans="1:7" hidden="1" x14ac:dyDescent="0.3">
      <c r="A225" s="32">
        <v>70423994123</v>
      </c>
      <c r="B225" s="8" t="s">
        <v>268</v>
      </c>
      <c r="C225" s="9">
        <v>100</v>
      </c>
      <c r="D225" s="33" t="s">
        <v>217</v>
      </c>
      <c r="E225" s="34">
        <v>45763</v>
      </c>
      <c r="F225" s="8" t="s">
        <v>198</v>
      </c>
      <c r="G225" s="8" t="s">
        <v>269</v>
      </c>
    </row>
    <row r="226" spans="1:7" hidden="1" x14ac:dyDescent="0.3">
      <c r="A226" s="32">
        <v>82316023134</v>
      </c>
      <c r="B226" s="8" t="s">
        <v>275</v>
      </c>
      <c r="C226" s="9">
        <v>100</v>
      </c>
      <c r="D226" s="33" t="s">
        <v>217</v>
      </c>
      <c r="E226" s="34">
        <v>45775</v>
      </c>
      <c r="F226" s="8" t="s">
        <v>198</v>
      </c>
    </row>
    <row r="227" spans="1:7" hidden="1" x14ac:dyDescent="0.3">
      <c r="A227" s="32">
        <v>69737657187</v>
      </c>
      <c r="B227" s="8" t="s">
        <v>277</v>
      </c>
      <c r="C227" s="9">
        <v>100</v>
      </c>
      <c r="D227" s="33" t="s">
        <v>195</v>
      </c>
      <c r="E227" s="34"/>
      <c r="F227" s="8" t="s">
        <v>198</v>
      </c>
      <c r="G227" s="8" t="s">
        <v>325</v>
      </c>
    </row>
    <row r="228" spans="1:7" hidden="1" x14ac:dyDescent="0.3">
      <c r="A228" s="32">
        <v>93287607120</v>
      </c>
      <c r="B228" s="8" t="s">
        <v>278</v>
      </c>
      <c r="C228" s="9">
        <v>100</v>
      </c>
      <c r="D228" s="33" t="s">
        <v>195</v>
      </c>
      <c r="E228" s="34"/>
      <c r="F228" s="8" t="s">
        <v>198</v>
      </c>
    </row>
    <row r="229" spans="1:7" hidden="1" x14ac:dyDescent="0.3">
      <c r="A229" s="32">
        <v>45129400810</v>
      </c>
      <c r="B229" s="8" t="s">
        <v>280</v>
      </c>
      <c r="C229" s="9">
        <v>250</v>
      </c>
      <c r="D229" s="33" t="s">
        <v>217</v>
      </c>
      <c r="E229" s="34">
        <v>45785</v>
      </c>
      <c r="F229" s="8" t="s">
        <v>198</v>
      </c>
      <c r="G229" s="8" t="s">
        <v>281</v>
      </c>
    </row>
    <row r="230" spans="1:7" hidden="1" x14ac:dyDescent="0.3">
      <c r="A230" s="32">
        <v>96952539115</v>
      </c>
      <c r="B230" s="8" t="s">
        <v>282</v>
      </c>
      <c r="C230" s="9">
        <v>200</v>
      </c>
      <c r="D230" s="33" t="s">
        <v>217</v>
      </c>
      <c r="E230" s="34">
        <v>45783</v>
      </c>
      <c r="F230" s="8" t="s">
        <v>198</v>
      </c>
    </row>
    <row r="231" spans="1:7" hidden="1" x14ac:dyDescent="0.3">
      <c r="A231" s="32">
        <v>1753784107</v>
      </c>
      <c r="B231" s="8" t="s">
        <v>283</v>
      </c>
      <c r="C231" s="9">
        <v>70</v>
      </c>
      <c r="D231" s="33" t="s">
        <v>217</v>
      </c>
      <c r="E231" s="34">
        <v>45785</v>
      </c>
      <c r="F231" s="8" t="s">
        <v>198</v>
      </c>
    </row>
    <row r="232" spans="1:7" hidden="1" x14ac:dyDescent="0.3">
      <c r="A232" s="32">
        <v>3021946143</v>
      </c>
      <c r="B232" s="8" t="s">
        <v>284</v>
      </c>
      <c r="C232" s="9">
        <v>150</v>
      </c>
      <c r="D232" s="33" t="s">
        <v>217</v>
      </c>
      <c r="E232" s="34">
        <v>45786</v>
      </c>
      <c r="F232" s="8" t="s">
        <v>198</v>
      </c>
      <c r="G232" s="8" t="s">
        <v>285</v>
      </c>
    </row>
    <row r="233" spans="1:7" x14ac:dyDescent="0.3">
      <c r="A233" s="32">
        <v>70108482111</v>
      </c>
      <c r="B233" s="8" t="s">
        <v>286</v>
      </c>
      <c r="C233" s="9">
        <v>0</v>
      </c>
      <c r="E233" s="34"/>
      <c r="F233" s="8" t="s">
        <v>198</v>
      </c>
    </row>
    <row r="234" spans="1:7" hidden="1" x14ac:dyDescent="0.3">
      <c r="A234" s="32">
        <v>77736834172</v>
      </c>
      <c r="B234" s="8" t="s">
        <v>287</v>
      </c>
      <c r="C234" s="9">
        <v>200</v>
      </c>
      <c r="D234" s="33" t="s">
        <v>217</v>
      </c>
      <c r="E234" s="34">
        <v>45756</v>
      </c>
      <c r="F234" s="8" t="s">
        <v>198</v>
      </c>
      <c r="G234" s="8" t="s">
        <v>288</v>
      </c>
    </row>
    <row r="235" spans="1:7" hidden="1" x14ac:dyDescent="0.3">
      <c r="A235" s="32">
        <v>70021408173</v>
      </c>
      <c r="B235" s="8" t="s">
        <v>289</v>
      </c>
      <c r="C235" s="9">
        <v>200</v>
      </c>
      <c r="D235" s="33" t="s">
        <v>217</v>
      </c>
      <c r="E235" s="34">
        <v>45762</v>
      </c>
      <c r="F235" s="8" t="s">
        <v>198</v>
      </c>
      <c r="G235" s="8" t="s">
        <v>290</v>
      </c>
    </row>
    <row r="236" spans="1:7" hidden="1" x14ac:dyDescent="0.3">
      <c r="A236" s="32">
        <v>2513137</v>
      </c>
      <c r="B236" s="8" t="s">
        <v>291</v>
      </c>
      <c r="C236" s="9">
        <v>200</v>
      </c>
      <c r="D236" s="33" t="s">
        <v>217</v>
      </c>
      <c r="E236" s="34">
        <v>45762</v>
      </c>
      <c r="F236" s="8" t="s">
        <v>198</v>
      </c>
      <c r="G236" s="8" t="s">
        <v>292</v>
      </c>
    </row>
    <row r="237" spans="1:7" hidden="1" x14ac:dyDescent="0.3">
      <c r="A237" s="32">
        <v>70161602118</v>
      </c>
      <c r="B237" s="8" t="s">
        <v>293</v>
      </c>
      <c r="C237" s="9">
        <v>200</v>
      </c>
      <c r="D237" s="33" t="s">
        <v>217</v>
      </c>
      <c r="E237" s="34">
        <v>45762</v>
      </c>
      <c r="F237" s="8" t="s">
        <v>198</v>
      </c>
      <c r="G237" s="8" t="s">
        <v>294</v>
      </c>
    </row>
    <row r="238" spans="1:7" hidden="1" x14ac:dyDescent="0.3">
      <c r="A238" s="32">
        <v>37515225149</v>
      </c>
      <c r="B238" s="8" t="s">
        <v>295</v>
      </c>
      <c r="C238" s="9">
        <v>200</v>
      </c>
      <c r="D238" s="33" t="s">
        <v>217</v>
      </c>
      <c r="E238" s="34">
        <v>45789</v>
      </c>
      <c r="F238" s="8" t="s">
        <v>198</v>
      </c>
    </row>
    <row r="239" spans="1:7" hidden="1" x14ac:dyDescent="0.3">
      <c r="A239" s="32">
        <v>1532791178</v>
      </c>
      <c r="B239" s="8" t="s">
        <v>296</v>
      </c>
      <c r="C239" s="9">
        <v>200</v>
      </c>
      <c r="D239" s="33" t="s">
        <v>217</v>
      </c>
      <c r="E239" s="34">
        <v>45789</v>
      </c>
      <c r="F239" s="8" t="s">
        <v>198</v>
      </c>
    </row>
    <row r="240" spans="1:7" hidden="1" x14ac:dyDescent="0.3">
      <c r="A240" s="32">
        <v>3874555151</v>
      </c>
      <c r="B240" s="8" t="s">
        <v>297</v>
      </c>
      <c r="C240" s="9">
        <v>150</v>
      </c>
      <c r="D240" s="33" t="s">
        <v>217</v>
      </c>
      <c r="E240" s="34">
        <v>45794</v>
      </c>
      <c r="F240" s="8" t="s">
        <v>198</v>
      </c>
    </row>
    <row r="241" spans="1:7" hidden="1" x14ac:dyDescent="0.3">
      <c r="A241" s="32">
        <v>2331968110</v>
      </c>
      <c r="B241" s="8" t="s">
        <v>298</v>
      </c>
      <c r="C241" s="9">
        <v>150</v>
      </c>
      <c r="D241" s="33" t="s">
        <v>217</v>
      </c>
      <c r="E241" s="34">
        <v>45798</v>
      </c>
      <c r="F241" s="8" t="s">
        <v>198</v>
      </c>
    </row>
    <row r="242" spans="1:7" x14ac:dyDescent="0.3">
      <c r="A242" s="32">
        <v>83721118120</v>
      </c>
      <c r="B242" s="8" t="s">
        <v>302</v>
      </c>
      <c r="C242" s="9">
        <v>0</v>
      </c>
      <c r="E242" s="34"/>
      <c r="F242" s="8" t="s">
        <v>198</v>
      </c>
      <c r="G242" s="8" t="s">
        <v>194</v>
      </c>
    </row>
    <row r="243" spans="1:7" hidden="1" x14ac:dyDescent="0.3">
      <c r="A243" s="32">
        <v>70175753180</v>
      </c>
      <c r="B243" s="8" t="s">
        <v>303</v>
      </c>
      <c r="C243" s="9">
        <v>300</v>
      </c>
      <c r="D243" s="33" t="s">
        <v>217</v>
      </c>
      <c r="E243" s="34">
        <v>45799</v>
      </c>
      <c r="F243" s="8" t="s">
        <v>198</v>
      </c>
      <c r="G243" s="8" t="s">
        <v>304</v>
      </c>
    </row>
    <row r="244" spans="1:7" ht="15" customHeight="1" x14ac:dyDescent="0.3">
      <c r="A244" s="32">
        <v>5880520609</v>
      </c>
      <c r="B244" s="8" t="s">
        <v>305</v>
      </c>
      <c r="C244" s="9">
        <v>100</v>
      </c>
      <c r="D244" s="33" t="s">
        <v>217</v>
      </c>
      <c r="E244" s="34"/>
      <c r="F244" s="8" t="s">
        <v>198</v>
      </c>
    </row>
    <row r="245" spans="1:7" hidden="1" x14ac:dyDescent="0.3">
      <c r="A245" s="32">
        <v>96906090178</v>
      </c>
      <c r="B245" s="8" t="s">
        <v>307</v>
      </c>
      <c r="C245" s="9">
        <v>300</v>
      </c>
      <c r="D245" s="33" t="s">
        <v>217</v>
      </c>
      <c r="E245" s="34">
        <v>45855</v>
      </c>
      <c r="F245" s="8" t="s">
        <v>198</v>
      </c>
      <c r="G245" s="8" t="s">
        <v>308</v>
      </c>
    </row>
    <row r="246" spans="1:7" hidden="1" x14ac:dyDescent="0.3">
      <c r="A246" s="32">
        <v>70387884181</v>
      </c>
      <c r="B246" s="8" t="s">
        <v>309</v>
      </c>
      <c r="C246" s="9">
        <v>500</v>
      </c>
      <c r="D246" s="33" t="s">
        <v>279</v>
      </c>
      <c r="E246" s="34">
        <v>45801</v>
      </c>
      <c r="F246" s="8" t="s">
        <v>198</v>
      </c>
      <c r="G246" s="8" t="s">
        <v>310</v>
      </c>
    </row>
    <row r="247" spans="1:7" hidden="1" x14ac:dyDescent="0.3">
      <c r="A247" s="32">
        <v>71438068115</v>
      </c>
      <c r="B247" s="8" t="s">
        <v>311</v>
      </c>
      <c r="C247" s="9">
        <v>250</v>
      </c>
      <c r="D247" s="33" t="s">
        <v>217</v>
      </c>
      <c r="E247" s="34">
        <v>45801</v>
      </c>
      <c r="F247" s="8" t="s">
        <v>198</v>
      </c>
      <c r="G247" s="8" t="s">
        <v>312</v>
      </c>
    </row>
    <row r="248" spans="1:7" hidden="1" x14ac:dyDescent="0.3">
      <c r="A248" s="32">
        <v>70243730160</v>
      </c>
      <c r="B248" s="8" t="s">
        <v>314</v>
      </c>
      <c r="C248" s="9">
        <v>200</v>
      </c>
      <c r="D248" s="33" t="s">
        <v>217</v>
      </c>
      <c r="E248" s="34">
        <v>45803</v>
      </c>
      <c r="F248" s="8" t="s">
        <v>198</v>
      </c>
      <c r="G248" s="8" t="s">
        <v>315</v>
      </c>
    </row>
    <row r="249" spans="1:7" hidden="1" x14ac:dyDescent="0.3">
      <c r="A249" s="32">
        <v>87772598172</v>
      </c>
      <c r="B249" s="8" t="s">
        <v>316</v>
      </c>
      <c r="C249" s="9">
        <v>150</v>
      </c>
      <c r="D249" s="33" t="s">
        <v>217</v>
      </c>
      <c r="E249" s="34">
        <v>45839</v>
      </c>
      <c r="F249" s="8" t="s">
        <v>198</v>
      </c>
    </row>
    <row r="250" spans="1:7" hidden="1" x14ac:dyDescent="0.3">
      <c r="A250" s="32">
        <v>46779949191</v>
      </c>
      <c r="B250" s="8" t="s">
        <v>317</v>
      </c>
      <c r="C250" s="9">
        <v>250</v>
      </c>
      <c r="D250" s="33" t="s">
        <v>279</v>
      </c>
      <c r="E250" s="34">
        <v>45805</v>
      </c>
      <c r="F250" s="8" t="s">
        <v>198</v>
      </c>
      <c r="G250" s="8" t="s">
        <v>319</v>
      </c>
    </row>
    <row r="251" spans="1:7" hidden="1" x14ac:dyDescent="0.3">
      <c r="A251" s="32">
        <v>56539070144</v>
      </c>
      <c r="B251" s="8" t="s">
        <v>318</v>
      </c>
      <c r="C251" s="9">
        <v>250</v>
      </c>
      <c r="D251" s="33" t="s">
        <v>279</v>
      </c>
      <c r="E251" s="34">
        <v>45805</v>
      </c>
      <c r="F251" s="8" t="s">
        <v>198</v>
      </c>
      <c r="G251" s="8" t="s">
        <v>319</v>
      </c>
    </row>
    <row r="252" spans="1:7" hidden="1" x14ac:dyDescent="0.3">
      <c r="A252" s="32">
        <v>98231995153</v>
      </c>
      <c r="B252" s="8" t="s">
        <v>321</v>
      </c>
      <c r="C252" s="9">
        <v>200</v>
      </c>
      <c r="D252" s="33" t="s">
        <v>217</v>
      </c>
      <c r="E252" s="34">
        <v>45810</v>
      </c>
      <c r="F252" s="8" t="s">
        <v>198</v>
      </c>
      <c r="G252" s="8" t="s">
        <v>322</v>
      </c>
    </row>
    <row r="253" spans="1:7" hidden="1" x14ac:dyDescent="0.3">
      <c r="A253" s="32">
        <v>81456409115</v>
      </c>
      <c r="B253" s="8" t="s">
        <v>326</v>
      </c>
      <c r="C253" s="9">
        <v>100</v>
      </c>
      <c r="D253" s="33" t="s">
        <v>217</v>
      </c>
      <c r="E253" s="34">
        <v>45811</v>
      </c>
      <c r="F253" s="8" t="s">
        <v>198</v>
      </c>
      <c r="G253" s="8" t="s">
        <v>327</v>
      </c>
    </row>
    <row r="254" spans="1:7" hidden="1" x14ac:dyDescent="0.3">
      <c r="A254" s="32">
        <v>16916851443</v>
      </c>
      <c r="B254" s="8" t="s">
        <v>329</v>
      </c>
      <c r="C254" s="9">
        <v>300</v>
      </c>
      <c r="D254" s="33" t="s">
        <v>217</v>
      </c>
      <c r="E254" s="34">
        <v>45813</v>
      </c>
      <c r="F254" s="8" t="s">
        <v>198</v>
      </c>
      <c r="G254" s="8" t="s">
        <v>330</v>
      </c>
    </row>
    <row r="255" spans="1:7" x14ac:dyDescent="0.3">
      <c r="A255" s="32"/>
      <c r="E255" s="34"/>
    </row>
    <row r="256" spans="1:7" x14ac:dyDescent="0.3">
      <c r="C256" s="9">
        <f>SUBTOTAL(9,C2:C248)</f>
        <v>1000</v>
      </c>
    </row>
  </sheetData>
  <autoFilter ref="A1:H254" xr:uid="{3DB11B94-0A39-4009-A2BF-DF140262F1EB}">
    <filterColumn colId="3">
      <filters blank="1"/>
    </filterColumn>
    <filterColumn colId="5">
      <filters>
        <filter val="EDER"/>
      </filters>
    </filterColumn>
  </autoFilter>
  <sortState xmlns:xlrd2="http://schemas.microsoft.com/office/spreadsheetml/2017/richdata2" ref="A2:H256">
    <sortCondition ref="B1:B256"/>
  </sortState>
  <pageMargins left="0.75" right="0.75" top="0.75" bottom="0.5" header="0.5" footer="0.7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73b9838-dd7d-4895-84a5-ee1c123f5d6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EEFEC1B6DF51488404FF8E57C20F91" ma:contentTypeVersion="6" ma:contentTypeDescription="Crie um novo documento." ma:contentTypeScope="" ma:versionID="9bffbe338d4b0255c909f723eb88d5cd">
  <xsd:schema xmlns:xsd="http://www.w3.org/2001/XMLSchema" xmlns:xs="http://www.w3.org/2001/XMLSchema" xmlns:p="http://schemas.microsoft.com/office/2006/metadata/properties" xmlns:ns3="a73b9838-dd7d-4895-84a5-ee1c123f5d6c" xmlns:ns4="55754d14-c562-4e29-bdab-daa082b2520e" targetNamespace="http://schemas.microsoft.com/office/2006/metadata/properties" ma:root="true" ma:fieldsID="6611fe83f169fb32a02e1d460d84f339" ns3:_="" ns4:_="">
    <xsd:import namespace="a73b9838-dd7d-4895-84a5-ee1c123f5d6c"/>
    <xsd:import namespace="55754d14-c562-4e29-bdab-daa082b2520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3b9838-dd7d-4895-84a5-ee1c123f5d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754d14-c562-4e29-bdab-daa082b2520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6B1217-4B2C-4E82-A2F9-290832EE9CEB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55754d14-c562-4e29-bdab-daa082b2520e"/>
    <ds:schemaRef ds:uri="http://schemas.microsoft.com/office/infopath/2007/PartnerControls"/>
    <ds:schemaRef ds:uri="http://purl.org/dc/elements/1.1/"/>
    <ds:schemaRef ds:uri="http://schemas.microsoft.com/office/2006/metadata/properties"/>
    <ds:schemaRef ds:uri="a73b9838-dd7d-4895-84a5-ee1c123f5d6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117F9EC-248F-4706-B196-5E5EE73F04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3b9838-dd7d-4895-84a5-ee1c123f5d6c"/>
    <ds:schemaRef ds:uri="55754d14-c562-4e29-bdab-daa082b252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A161BC-F462-434E-AF1A-C0EE67B43F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RECEBIMENTOS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Eder Grupo Fleury Contabilidade Empresarial</cp:lastModifiedBy>
  <cp:lastPrinted>2025-05-01T16:37:16Z</cp:lastPrinted>
  <dcterms:created xsi:type="dcterms:W3CDTF">2023-06-01T13:50:08Z</dcterms:created>
  <dcterms:modified xsi:type="dcterms:W3CDTF">2025-08-20T16:44:53Z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0x01010025EEFEC1B6DF51488404FF8E57C20F91</vt:lpwstr>
  </property>
</Properties>
</file>