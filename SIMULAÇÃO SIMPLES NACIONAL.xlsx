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ANEXOS RAPIDOS\victor\"/>
    </mc:Choice>
  </mc:AlternateContent>
  <xr:revisionPtr revIDLastSave="0" documentId="13_ncr:1_{3B0229EF-BCE4-402A-A4E4-2277EFD34A53}" xr6:coauthVersionLast="47" xr6:coauthVersionMax="47" xr10:uidLastSave="{00000000-0000-0000-0000-000000000000}"/>
  <bookViews>
    <workbookView xWindow="21480" yWindow="-105" windowWidth="21840" windowHeight="13140" activeTab="3" xr2:uid="{1B0E71D7-B329-4835-9912-8A7656889705}"/>
  </bookViews>
  <sheets>
    <sheet name="TABELAS" sheetId="8" r:id="rId1"/>
    <sheet name="RBT" sheetId="9" r:id="rId2"/>
    <sheet name="SN industria" sheetId="4" r:id="rId3"/>
    <sheet name="SN comercio" sheetId="10" r:id="rId4"/>
    <sheet name="SN Serviço" sheetId="11" r:id="rId5"/>
    <sheet name="PLANEJAMENTO" sheetId="5" r:id="rId6"/>
  </sheets>
  <definedNames>
    <definedName name="_xlnm.Print_Area" localSheetId="5">PLANEJAMENTO!$A$1:$N$85</definedName>
    <definedName name="Z_23C35D65_BA70_4682_926D_5F641786CE03_.wvu.PrintArea" localSheetId="5" hidden="1">PLANEJAMENTO!$A$1:$N$85</definedName>
    <definedName name="Z_23C35D65_BA70_4682_926D_5F641786CE03_.wvu.Rows" localSheetId="5" hidden="1">PLANEJAMENTO!$77:$84</definedName>
    <definedName name="Z_9E665EDB_7C75_4BFD_80F9_A664F71878B5_.wvu.PrintArea" localSheetId="5" hidden="1">PLANEJAMENTO!$A$1:$N$85</definedName>
    <definedName name="Z_9E665EDB_7C75_4BFD_80F9_A664F71878B5_.wvu.Rows" localSheetId="5" hidden="1">PLANEJAMENTO!$81:$84</definedName>
    <definedName name="Z_DAF36863_8013_4904_BD44_CE23D6D7CC61_.wvu.PrintArea" localSheetId="5" hidden="1">PLANEJAMENTO!$A$1:$N$85</definedName>
    <definedName name="Z_DAF36863_8013_4904_BD44_CE23D6D7CC61_.wvu.Rows" localSheetId="5" hidden="1">PLANEJAMENTO!#REF!,PLANEJAMENTO!#REF!,PLANEJAMENTO!#REF!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1" i="11" l="1"/>
  <c r="C51" i="11"/>
  <c r="B46" i="11"/>
  <c r="C46" i="11"/>
  <c r="B41" i="11"/>
  <c r="C41" i="11"/>
  <c r="B26" i="11"/>
  <c r="C26" i="11"/>
  <c r="C31" i="11" s="1"/>
  <c r="C16" i="11"/>
  <c r="B11" i="11"/>
  <c r="C11" i="11"/>
  <c r="C59" i="11"/>
  <c r="C54" i="11"/>
  <c r="C49" i="11"/>
  <c r="C44" i="11"/>
  <c r="C39" i="11"/>
  <c r="C34" i="11"/>
  <c r="C29" i="11"/>
  <c r="C24" i="11"/>
  <c r="C19" i="11"/>
  <c r="C14" i="11"/>
  <c r="C9" i="11"/>
  <c r="B61" i="11"/>
  <c r="C61" i="11"/>
  <c r="C21" i="11"/>
  <c r="B16" i="11"/>
  <c r="B6" i="11"/>
  <c r="C6" i="11"/>
  <c r="C4" i="11"/>
  <c r="C10" i="10"/>
  <c r="I11" i="10"/>
  <c r="H11" i="10"/>
  <c r="G11" i="10"/>
  <c r="F11" i="10"/>
  <c r="E11" i="10"/>
  <c r="D11" i="10"/>
  <c r="B10" i="10"/>
  <c r="N15" i="11"/>
  <c r="A41" i="11"/>
  <c r="D16" i="10"/>
  <c r="C15" i="10"/>
  <c r="B15" i="10"/>
  <c r="B54" i="4"/>
  <c r="B61" i="4"/>
  <c r="E28" i="9"/>
  <c r="C54" i="4" s="1"/>
  <c r="B21" i="11" l="1"/>
  <c r="B31" i="11" s="1"/>
  <c r="B36" i="11" s="1"/>
  <c r="B56" i="11" s="1"/>
  <c r="D26" i="11"/>
  <c r="E26" i="11" s="1"/>
  <c r="D15" i="10"/>
  <c r="D10" i="10"/>
  <c r="E10" i="10" s="1"/>
  <c r="F10" i="10" s="1"/>
  <c r="D6" i="11"/>
  <c r="E6" i="11" s="1"/>
  <c r="F6" i="11" s="1"/>
  <c r="D11" i="11"/>
  <c r="E11" i="11" s="1"/>
  <c r="F11" i="11" s="1"/>
  <c r="D16" i="11"/>
  <c r="E16" i="11" s="1"/>
  <c r="F16" i="11" s="1"/>
  <c r="D21" i="11"/>
  <c r="E21" i="11" s="1"/>
  <c r="F21" i="11" s="1"/>
  <c r="B65" i="11"/>
  <c r="H66" i="10"/>
  <c r="H61" i="10" s="1"/>
  <c r="G66" i="10"/>
  <c r="G61" i="10" s="1"/>
  <c r="F66" i="10"/>
  <c r="F61" i="10" s="1"/>
  <c r="E66" i="10"/>
  <c r="E61" i="10" s="1"/>
  <c r="D66" i="10"/>
  <c r="D61" i="10" s="1"/>
  <c r="C65" i="10"/>
  <c r="C60" i="10" s="1"/>
  <c r="B65" i="10"/>
  <c r="B60" i="10" s="1"/>
  <c r="B63" i="10"/>
  <c r="A41" i="4"/>
  <c r="A11" i="4"/>
  <c r="A16" i="4" s="1"/>
  <c r="A21" i="4" s="1"/>
  <c r="I56" i="10"/>
  <c r="H56" i="10"/>
  <c r="G56" i="10"/>
  <c r="F56" i="10"/>
  <c r="E56" i="10"/>
  <c r="D56" i="10"/>
  <c r="C55" i="10"/>
  <c r="B55" i="10"/>
  <c r="I51" i="10"/>
  <c r="H51" i="10"/>
  <c r="G51" i="10"/>
  <c r="F51" i="10"/>
  <c r="E51" i="10"/>
  <c r="D51" i="10"/>
  <c r="C50" i="10"/>
  <c r="B50" i="10"/>
  <c r="I46" i="10"/>
  <c r="H46" i="10"/>
  <c r="G46" i="10"/>
  <c r="F46" i="10"/>
  <c r="E46" i="10"/>
  <c r="D46" i="10"/>
  <c r="C45" i="10"/>
  <c r="B45" i="10"/>
  <c r="D45" i="10" s="1"/>
  <c r="E45" i="10" s="1"/>
  <c r="F45" i="10" s="1"/>
  <c r="G45" i="10" s="1"/>
  <c r="I41" i="10"/>
  <c r="H41" i="10"/>
  <c r="G41" i="10"/>
  <c r="F41" i="10"/>
  <c r="E41" i="10"/>
  <c r="D41" i="10"/>
  <c r="C40" i="10"/>
  <c r="B40" i="10"/>
  <c r="D40" i="10" s="1"/>
  <c r="E40" i="10" s="1"/>
  <c r="F40" i="10" s="1"/>
  <c r="I36" i="10"/>
  <c r="H36" i="10"/>
  <c r="G36" i="10"/>
  <c r="F36" i="10"/>
  <c r="E36" i="10"/>
  <c r="D36" i="10"/>
  <c r="C35" i="10"/>
  <c r="B35" i="10"/>
  <c r="D35" i="10" s="1"/>
  <c r="E35" i="10" s="1"/>
  <c r="I31" i="10"/>
  <c r="H31" i="10"/>
  <c r="G31" i="10"/>
  <c r="F31" i="10"/>
  <c r="E31" i="10"/>
  <c r="D31" i="10"/>
  <c r="C30" i="10"/>
  <c r="B30" i="10"/>
  <c r="I26" i="10"/>
  <c r="H26" i="10"/>
  <c r="G26" i="10"/>
  <c r="F26" i="10"/>
  <c r="E26" i="10"/>
  <c r="D26" i="10"/>
  <c r="C25" i="10"/>
  <c r="B25" i="10"/>
  <c r="I21" i="10"/>
  <c r="H21" i="10"/>
  <c r="G21" i="10"/>
  <c r="F21" i="10"/>
  <c r="E21" i="10"/>
  <c r="D21" i="10"/>
  <c r="C20" i="10"/>
  <c r="B20" i="10"/>
  <c r="I16" i="10"/>
  <c r="H16" i="10"/>
  <c r="G16" i="10"/>
  <c r="F16" i="10"/>
  <c r="E16" i="10"/>
  <c r="C6" i="4"/>
  <c r="B6" i="4"/>
  <c r="B17" i="5"/>
  <c r="B18" i="5"/>
  <c r="B19" i="5"/>
  <c r="B20" i="5"/>
  <c r="B21" i="5"/>
  <c r="B22" i="5"/>
  <c r="B23" i="5"/>
  <c r="B24" i="5"/>
  <c r="B25" i="5"/>
  <c r="B26" i="5"/>
  <c r="B27" i="5"/>
  <c r="B16" i="5"/>
  <c r="C16" i="5" s="1"/>
  <c r="C21" i="4"/>
  <c r="B21" i="4"/>
  <c r="C16" i="4"/>
  <c r="B16" i="4"/>
  <c r="C11" i="4"/>
  <c r="B11" i="4"/>
  <c r="E7" i="4"/>
  <c r="F7" i="4"/>
  <c r="G7" i="4"/>
  <c r="H7" i="4"/>
  <c r="I7" i="4"/>
  <c r="D7" i="4"/>
  <c r="E17" i="4"/>
  <c r="F17" i="4"/>
  <c r="G17" i="4"/>
  <c r="H17" i="4"/>
  <c r="I17" i="4"/>
  <c r="D17" i="4"/>
  <c r="E12" i="4"/>
  <c r="F12" i="4"/>
  <c r="G12" i="4"/>
  <c r="H12" i="4"/>
  <c r="I12" i="4"/>
  <c r="D12" i="4"/>
  <c r="C26" i="4"/>
  <c r="C31" i="4"/>
  <c r="C36" i="4"/>
  <c r="C41" i="4"/>
  <c r="C46" i="4"/>
  <c r="C51" i="4"/>
  <c r="C61" i="4"/>
  <c r="D55" i="10" l="1"/>
  <c r="E55" i="10" s="1"/>
  <c r="E57" i="10" s="1"/>
  <c r="E53" i="10" s="1"/>
  <c r="D60" i="10"/>
  <c r="E60" i="10" s="1"/>
  <c r="F60" i="10" s="1"/>
  <c r="F62" i="10" s="1"/>
  <c r="F58" i="10" s="1"/>
  <c r="D28" i="11"/>
  <c r="D24" i="11" s="1"/>
  <c r="F26" i="11"/>
  <c r="G26" i="11" s="1"/>
  <c r="H26" i="11" s="1"/>
  <c r="E28" i="11"/>
  <c r="E24" i="11" s="1"/>
  <c r="E37" i="10"/>
  <c r="E33" i="10" s="1"/>
  <c r="D25" i="10"/>
  <c r="E25" i="10" s="1"/>
  <c r="F25" i="10" s="1"/>
  <c r="G25" i="10" s="1"/>
  <c r="G27" i="10" s="1"/>
  <c r="G23" i="10" s="1"/>
  <c r="D65" i="10"/>
  <c r="E65" i="10" s="1"/>
  <c r="F65" i="10" s="1"/>
  <c r="G65" i="10" s="1"/>
  <c r="G67" i="10" s="1"/>
  <c r="G63" i="10" s="1"/>
  <c r="D31" i="11"/>
  <c r="C36" i="11"/>
  <c r="D23" i="11"/>
  <c r="D19" i="11" s="1"/>
  <c r="D18" i="11"/>
  <c r="D14" i="11" s="1"/>
  <c r="D8" i="11"/>
  <c r="D4" i="11" s="1"/>
  <c r="G16" i="11"/>
  <c r="F18" i="11"/>
  <c r="F14" i="11" s="1"/>
  <c r="G6" i="11"/>
  <c r="F8" i="11"/>
  <c r="F4" i="11" s="1"/>
  <c r="E23" i="11"/>
  <c r="E19" i="11" s="1"/>
  <c r="E13" i="11"/>
  <c r="E9" i="11" s="1"/>
  <c r="G11" i="11"/>
  <c r="F13" i="11"/>
  <c r="F9" i="11" s="1"/>
  <c r="G21" i="11"/>
  <c r="F23" i="11"/>
  <c r="F19" i="11" s="1"/>
  <c r="E8" i="11"/>
  <c r="E4" i="11" s="1"/>
  <c r="D13" i="11"/>
  <c r="D9" i="11" s="1"/>
  <c r="E18" i="11"/>
  <c r="E14" i="11" s="1"/>
  <c r="D30" i="10"/>
  <c r="D32" i="10" s="1"/>
  <c r="D28" i="10" s="1"/>
  <c r="D50" i="10"/>
  <c r="D52" i="10" s="1"/>
  <c r="D48" i="10" s="1"/>
  <c r="E15" i="10"/>
  <c r="D42" i="10"/>
  <c r="D38" i="10" s="1"/>
  <c r="E42" i="10"/>
  <c r="E38" i="10" s="1"/>
  <c r="D37" i="10"/>
  <c r="D33" i="10" s="1"/>
  <c r="B69" i="10"/>
  <c r="C17" i="5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D17" i="10"/>
  <c r="D13" i="10" s="1"/>
  <c r="F42" i="10"/>
  <c r="F38" i="10" s="1"/>
  <c r="G40" i="10"/>
  <c r="E47" i="10"/>
  <c r="E43" i="10" s="1"/>
  <c r="D20" i="10"/>
  <c r="E20" i="10" s="1"/>
  <c r="F20" i="10" s="1"/>
  <c r="F35" i="10"/>
  <c r="F47" i="10"/>
  <c r="F43" i="10" s="1"/>
  <c r="G47" i="10"/>
  <c r="G43" i="10" s="1"/>
  <c r="H45" i="10"/>
  <c r="D47" i="10"/>
  <c r="D43" i="10" s="1"/>
  <c r="J28" i="5"/>
  <c r="H28" i="5"/>
  <c r="B65" i="4"/>
  <c r="E32" i="4"/>
  <c r="F32" i="4"/>
  <c r="G32" i="4"/>
  <c r="H32" i="4"/>
  <c r="I32" i="4"/>
  <c r="E27" i="4"/>
  <c r="F27" i="4"/>
  <c r="G27" i="4"/>
  <c r="H27" i="4"/>
  <c r="I27" i="4"/>
  <c r="E22" i="4"/>
  <c r="F22" i="4"/>
  <c r="G22" i="4"/>
  <c r="H22" i="4"/>
  <c r="I22" i="4"/>
  <c r="E62" i="4"/>
  <c r="F62" i="4"/>
  <c r="G62" i="4"/>
  <c r="H62" i="4"/>
  <c r="I62" i="4"/>
  <c r="D62" i="4"/>
  <c r="E52" i="4"/>
  <c r="F52" i="4"/>
  <c r="G52" i="4"/>
  <c r="H52" i="4"/>
  <c r="I52" i="4"/>
  <c r="D52" i="4"/>
  <c r="B51" i="4"/>
  <c r="I47" i="4"/>
  <c r="I42" i="4"/>
  <c r="I37" i="4"/>
  <c r="E47" i="4"/>
  <c r="F47" i="4"/>
  <c r="G47" i="4"/>
  <c r="H47" i="4"/>
  <c r="D47" i="4"/>
  <c r="B46" i="4"/>
  <c r="E42" i="4"/>
  <c r="F42" i="4"/>
  <c r="G42" i="4"/>
  <c r="H42" i="4"/>
  <c r="D42" i="4"/>
  <c r="B41" i="4"/>
  <c r="E37" i="4"/>
  <c r="F37" i="4"/>
  <c r="G37" i="4"/>
  <c r="H37" i="4"/>
  <c r="D37" i="4"/>
  <c r="B36" i="4"/>
  <c r="D32" i="4"/>
  <c r="B31" i="4"/>
  <c r="D27" i="4"/>
  <c r="B26" i="4"/>
  <c r="D22" i="4"/>
  <c r="E62" i="10" l="1"/>
  <c r="E58" i="10" s="1"/>
  <c r="E30" i="10"/>
  <c r="E32" i="10" s="1"/>
  <c r="E28" i="10" s="1"/>
  <c r="D62" i="10"/>
  <c r="D58" i="10" s="1"/>
  <c r="F55" i="10"/>
  <c r="G55" i="10" s="1"/>
  <c r="D57" i="10"/>
  <c r="D53" i="10" s="1"/>
  <c r="E67" i="10"/>
  <c r="E63" i="10" s="1"/>
  <c r="E50" i="10"/>
  <c r="E52" i="10" s="1"/>
  <c r="E48" i="10" s="1"/>
  <c r="G60" i="10"/>
  <c r="G62" i="10" s="1"/>
  <c r="G58" i="10" s="1"/>
  <c r="G28" i="11"/>
  <c r="G24" i="11" s="1"/>
  <c r="F28" i="11"/>
  <c r="F24" i="11" s="1"/>
  <c r="D67" i="10"/>
  <c r="D63" i="10" s="1"/>
  <c r="H65" i="10"/>
  <c r="I65" i="10" s="1"/>
  <c r="F67" i="10"/>
  <c r="F63" i="10" s="1"/>
  <c r="E27" i="10"/>
  <c r="E23" i="10" s="1"/>
  <c r="H25" i="10"/>
  <c r="I25" i="10" s="1"/>
  <c r="I27" i="10" s="1"/>
  <c r="I23" i="10" s="1"/>
  <c r="D36" i="11"/>
  <c r="D27" i="10"/>
  <c r="D23" i="10" s="1"/>
  <c r="D33" i="11"/>
  <c r="D29" i="11" s="1"/>
  <c r="E31" i="11"/>
  <c r="F27" i="10"/>
  <c r="F23" i="10" s="1"/>
  <c r="H11" i="11"/>
  <c r="G13" i="11"/>
  <c r="G9" i="11" s="1"/>
  <c r="H21" i="11"/>
  <c r="G23" i="11"/>
  <c r="G19" i="11" s="1"/>
  <c r="H16" i="11"/>
  <c r="G18" i="11"/>
  <c r="G14" i="11" s="1"/>
  <c r="I26" i="11"/>
  <c r="I28" i="11" s="1"/>
  <c r="I24" i="11" s="1"/>
  <c r="H28" i="11"/>
  <c r="H24" i="11" s="1"/>
  <c r="H6" i="11"/>
  <c r="I6" i="11" s="1"/>
  <c r="G8" i="11"/>
  <c r="G4" i="11" s="1"/>
  <c r="D22" i="10"/>
  <c r="D18" i="10" s="1"/>
  <c r="I45" i="10"/>
  <c r="I47" i="10" s="1"/>
  <c r="I43" i="10" s="1"/>
  <c r="H47" i="10"/>
  <c r="H43" i="10" s="1"/>
  <c r="J43" i="10" s="1"/>
  <c r="E17" i="10"/>
  <c r="E13" i="10" s="1"/>
  <c r="F15" i="10"/>
  <c r="G35" i="10"/>
  <c r="F37" i="10"/>
  <c r="F33" i="10" s="1"/>
  <c r="F22" i="10"/>
  <c r="F18" i="10" s="1"/>
  <c r="G20" i="10"/>
  <c r="H40" i="10"/>
  <c r="G42" i="10"/>
  <c r="G38" i="10" s="1"/>
  <c r="E22" i="10"/>
  <c r="E18" i="10" s="1"/>
  <c r="D61" i="4"/>
  <c r="E61" i="4" s="1"/>
  <c r="F61" i="4" s="1"/>
  <c r="G61" i="4" s="1"/>
  <c r="H61" i="4" s="1"/>
  <c r="D51" i="4"/>
  <c r="E51" i="4" s="1"/>
  <c r="F51" i="4" s="1"/>
  <c r="G51" i="4" s="1"/>
  <c r="H51" i="4" s="1"/>
  <c r="I51" i="4" s="1"/>
  <c r="D56" i="4"/>
  <c r="E56" i="4" s="1"/>
  <c r="F56" i="4" s="1"/>
  <c r="F58" i="4" s="1"/>
  <c r="F54" i="4" s="1"/>
  <c r="F26" i="5" s="1"/>
  <c r="D31" i="4"/>
  <c r="E31" i="4" s="1"/>
  <c r="F31" i="4" s="1"/>
  <c r="F33" i="4" s="1"/>
  <c r="F29" i="4" s="1"/>
  <c r="F21" i="5" s="1"/>
  <c r="D46" i="4"/>
  <c r="E46" i="4" s="1"/>
  <c r="F46" i="4" s="1"/>
  <c r="G46" i="4" s="1"/>
  <c r="H46" i="4" s="1"/>
  <c r="D26" i="4"/>
  <c r="E26" i="4" s="1"/>
  <c r="F26" i="4" s="1"/>
  <c r="F28" i="4" s="1"/>
  <c r="F24" i="4" s="1"/>
  <c r="F20" i="5" s="1"/>
  <c r="D41" i="4"/>
  <c r="E41" i="4" s="1"/>
  <c r="F41" i="4" s="1"/>
  <c r="F43" i="4" s="1"/>
  <c r="F39" i="4" s="1"/>
  <c r="F23" i="5" s="1"/>
  <c r="D36" i="4"/>
  <c r="E36" i="4" s="1"/>
  <c r="F36" i="4" s="1"/>
  <c r="G36" i="4" s="1"/>
  <c r="D21" i="4"/>
  <c r="E21" i="4" s="1"/>
  <c r="F21" i="4" s="1"/>
  <c r="F23" i="4" s="1"/>
  <c r="F19" i="4" s="1"/>
  <c r="F19" i="5" s="1"/>
  <c r="D16" i="4"/>
  <c r="E16" i="4" s="1"/>
  <c r="F16" i="4" s="1"/>
  <c r="G16" i="4" s="1"/>
  <c r="H16" i="4" s="1"/>
  <c r="D11" i="4"/>
  <c r="E11" i="4" s="1"/>
  <c r="F11" i="4" s="1"/>
  <c r="G11" i="4" s="1"/>
  <c r="D6" i="4"/>
  <c r="E6" i="4" s="1"/>
  <c r="F6" i="4" s="1"/>
  <c r="G6" i="4" s="1"/>
  <c r="H6" i="4" s="1"/>
  <c r="F50" i="10" l="1"/>
  <c r="F30" i="10"/>
  <c r="G30" i="10" s="1"/>
  <c r="F57" i="10"/>
  <c r="F53" i="10" s="1"/>
  <c r="H60" i="10"/>
  <c r="H62" i="10" s="1"/>
  <c r="H58" i="10" s="1"/>
  <c r="H27" i="10"/>
  <c r="H23" i="10" s="1"/>
  <c r="H67" i="10"/>
  <c r="H63" i="10" s="1"/>
  <c r="J23" i="10"/>
  <c r="E36" i="11"/>
  <c r="D38" i="11"/>
  <c r="D34" i="11" s="1"/>
  <c r="F31" i="11"/>
  <c r="E33" i="11"/>
  <c r="E29" i="11" s="1"/>
  <c r="D41" i="11"/>
  <c r="J24" i="11"/>
  <c r="M7" i="11" s="1"/>
  <c r="O7" i="11" s="1"/>
  <c r="I16" i="11"/>
  <c r="I18" i="11" s="1"/>
  <c r="I14" i="11" s="1"/>
  <c r="H18" i="11"/>
  <c r="H14" i="11" s="1"/>
  <c r="I11" i="11"/>
  <c r="I13" i="11" s="1"/>
  <c r="I9" i="11" s="1"/>
  <c r="H13" i="11"/>
  <c r="H9" i="11" s="1"/>
  <c r="I8" i="11"/>
  <c r="I4" i="11" s="1"/>
  <c r="H8" i="11"/>
  <c r="H4" i="11" s="1"/>
  <c r="I21" i="11"/>
  <c r="I23" i="11" s="1"/>
  <c r="I19" i="11" s="1"/>
  <c r="H23" i="11"/>
  <c r="H19" i="11" s="1"/>
  <c r="I67" i="10"/>
  <c r="I63" i="10" s="1"/>
  <c r="D12" i="10"/>
  <c r="D8" i="10" s="1"/>
  <c r="I40" i="10"/>
  <c r="I42" i="10" s="1"/>
  <c r="I38" i="10" s="1"/>
  <c r="H42" i="10"/>
  <c r="H38" i="10" s="1"/>
  <c r="G50" i="10"/>
  <c r="F52" i="10"/>
  <c r="F48" i="10" s="1"/>
  <c r="H20" i="10"/>
  <c r="G22" i="10"/>
  <c r="G18" i="10" s="1"/>
  <c r="H55" i="10"/>
  <c r="G57" i="10"/>
  <c r="G53" i="10" s="1"/>
  <c r="G15" i="10"/>
  <c r="F17" i="10"/>
  <c r="F13" i="10" s="1"/>
  <c r="I60" i="10"/>
  <c r="I62" i="10" s="1"/>
  <c r="I58" i="10" s="1"/>
  <c r="H35" i="10"/>
  <c r="G37" i="10"/>
  <c r="G33" i="10" s="1"/>
  <c r="H48" i="4"/>
  <c r="H44" i="4" s="1"/>
  <c r="N24" i="5" s="1"/>
  <c r="I46" i="4"/>
  <c r="I48" i="4" s="1"/>
  <c r="I44" i="4" s="1"/>
  <c r="L24" i="5" s="1"/>
  <c r="H63" i="4"/>
  <c r="H59" i="4" s="1"/>
  <c r="N27" i="5" s="1"/>
  <c r="I61" i="4"/>
  <c r="I63" i="4" s="1"/>
  <c r="I59" i="4" s="1"/>
  <c r="L27" i="5" s="1"/>
  <c r="F53" i="4"/>
  <c r="F49" i="4" s="1"/>
  <c r="F25" i="5" s="1"/>
  <c r="H18" i="4"/>
  <c r="H14" i="4" s="1"/>
  <c r="N18" i="5" s="1"/>
  <c r="I16" i="4"/>
  <c r="I18" i="4" s="1"/>
  <c r="I14" i="4" s="1"/>
  <c r="L18" i="5" s="1"/>
  <c r="F63" i="4"/>
  <c r="F59" i="4" s="1"/>
  <c r="F27" i="5" s="1"/>
  <c r="E63" i="4"/>
  <c r="E59" i="4" s="1"/>
  <c r="E27" i="5" s="1"/>
  <c r="H8" i="4"/>
  <c r="H4" i="4" s="1"/>
  <c r="N16" i="5" s="1"/>
  <c r="I6" i="4"/>
  <c r="I8" i="4" s="1"/>
  <c r="I4" i="4" s="1"/>
  <c r="L16" i="5" s="1"/>
  <c r="D53" i="4"/>
  <c r="D49" i="4" s="1"/>
  <c r="D63" i="4"/>
  <c r="D59" i="4" s="1"/>
  <c r="E53" i="4"/>
  <c r="E49" i="4" s="1"/>
  <c r="E25" i="5" s="1"/>
  <c r="G31" i="4"/>
  <c r="G33" i="4" s="1"/>
  <c r="G29" i="4" s="1"/>
  <c r="G21" i="5" s="1"/>
  <c r="D33" i="4"/>
  <c r="D29" i="4" s="1"/>
  <c r="D58" i="4"/>
  <c r="D54" i="4" s="1"/>
  <c r="E58" i="4"/>
  <c r="E54" i="4" s="1"/>
  <c r="E26" i="5" s="1"/>
  <c r="G63" i="4"/>
  <c r="G59" i="4" s="1"/>
  <c r="G27" i="5" s="1"/>
  <c r="E48" i="4"/>
  <c r="E44" i="4" s="1"/>
  <c r="E24" i="5" s="1"/>
  <c r="D48" i="4"/>
  <c r="D44" i="4" s="1"/>
  <c r="F48" i="4"/>
  <c r="F44" i="4" s="1"/>
  <c r="F24" i="5" s="1"/>
  <c r="G56" i="4"/>
  <c r="E23" i="4"/>
  <c r="E19" i="4" s="1"/>
  <c r="E19" i="5" s="1"/>
  <c r="G26" i="4"/>
  <c r="G28" i="4" s="1"/>
  <c r="G24" i="4" s="1"/>
  <c r="G20" i="5" s="1"/>
  <c r="D18" i="4"/>
  <c r="D14" i="4" s="1"/>
  <c r="F38" i="4"/>
  <c r="F34" i="4" s="1"/>
  <c r="F22" i="5" s="1"/>
  <c r="G41" i="4"/>
  <c r="H41" i="4" s="1"/>
  <c r="D43" i="4"/>
  <c r="D39" i="4" s="1"/>
  <c r="G21" i="4"/>
  <c r="H21" i="4" s="1"/>
  <c r="E38" i="4"/>
  <c r="E34" i="4" s="1"/>
  <c r="E22" i="5" s="1"/>
  <c r="E43" i="4"/>
  <c r="E39" i="4" s="1"/>
  <c r="E23" i="5" s="1"/>
  <c r="E28" i="4"/>
  <c r="E24" i="4" s="1"/>
  <c r="E20" i="5" s="1"/>
  <c r="D23" i="4"/>
  <c r="D19" i="4" s="1"/>
  <c r="D28" i="4"/>
  <c r="D24" i="4" s="1"/>
  <c r="E33" i="4"/>
  <c r="E29" i="4" s="1"/>
  <c r="E21" i="5" s="1"/>
  <c r="G48" i="4"/>
  <c r="G44" i="4" s="1"/>
  <c r="G24" i="5" s="1"/>
  <c r="G53" i="4"/>
  <c r="G49" i="4" s="1"/>
  <c r="D38" i="4"/>
  <c r="D34" i="4" s="1"/>
  <c r="F18" i="4"/>
  <c r="F14" i="4" s="1"/>
  <c r="F18" i="5" s="1"/>
  <c r="H36" i="4"/>
  <c r="G38" i="4"/>
  <c r="G34" i="4" s="1"/>
  <c r="G22" i="5" s="1"/>
  <c r="E18" i="4"/>
  <c r="E14" i="4" s="1"/>
  <c r="E18" i="5" s="1"/>
  <c r="G18" i="4"/>
  <c r="G14" i="4" s="1"/>
  <c r="G18" i="5" s="1"/>
  <c r="H11" i="4"/>
  <c r="G13" i="4"/>
  <c r="G9" i="4" s="1"/>
  <c r="G17" i="5" s="1"/>
  <c r="D13" i="4"/>
  <c r="D9" i="4" s="1"/>
  <c r="E13" i="4"/>
  <c r="E9" i="4" s="1"/>
  <c r="E17" i="5" s="1"/>
  <c r="F13" i="4"/>
  <c r="F9" i="4" s="1"/>
  <c r="F17" i="5" s="1"/>
  <c r="D8" i="4"/>
  <c r="D4" i="4" s="1"/>
  <c r="D16" i="5" s="1"/>
  <c r="G8" i="4"/>
  <c r="G4" i="4" s="1"/>
  <c r="G16" i="5" s="1"/>
  <c r="E8" i="4"/>
  <c r="E4" i="4" s="1"/>
  <c r="E16" i="5" s="1"/>
  <c r="F8" i="4"/>
  <c r="F4" i="4" s="1"/>
  <c r="F16" i="5" s="1"/>
  <c r="J19" i="11" l="1"/>
  <c r="M6" i="11" s="1"/>
  <c r="O6" i="11" s="1"/>
  <c r="F32" i="10"/>
  <c r="F28" i="10" s="1"/>
  <c r="J63" i="10"/>
  <c r="D73" i="10" s="1"/>
  <c r="G31" i="11"/>
  <c r="F33" i="11"/>
  <c r="F29" i="11" s="1"/>
  <c r="E41" i="11"/>
  <c r="D43" i="11"/>
  <c r="D39" i="11" s="1"/>
  <c r="C56" i="11"/>
  <c r="D46" i="11"/>
  <c r="E38" i="11"/>
  <c r="E34" i="11" s="1"/>
  <c r="F36" i="11"/>
  <c r="J14" i="11"/>
  <c r="M5" i="11" s="1"/>
  <c r="O5" i="11" s="1"/>
  <c r="J9" i="11"/>
  <c r="M4" i="11" s="1"/>
  <c r="O4" i="11" s="1"/>
  <c r="J4" i="11"/>
  <c r="M3" i="11" s="1"/>
  <c r="J58" i="10"/>
  <c r="J38" i="10"/>
  <c r="E12" i="10"/>
  <c r="E8" i="10" s="1"/>
  <c r="H30" i="10"/>
  <c r="G32" i="10"/>
  <c r="G28" i="10" s="1"/>
  <c r="H50" i="10"/>
  <c r="G52" i="10"/>
  <c r="G48" i="10" s="1"/>
  <c r="H15" i="10"/>
  <c r="G17" i="10"/>
  <c r="G13" i="10" s="1"/>
  <c r="I35" i="10"/>
  <c r="I37" i="10" s="1"/>
  <c r="I33" i="10" s="1"/>
  <c r="H37" i="10"/>
  <c r="H33" i="10" s="1"/>
  <c r="I55" i="10"/>
  <c r="I57" i="10" s="1"/>
  <c r="I53" i="10" s="1"/>
  <c r="H57" i="10"/>
  <c r="H53" i="10" s="1"/>
  <c r="I20" i="10"/>
  <c r="I22" i="10" s="1"/>
  <c r="I18" i="10" s="1"/>
  <c r="H22" i="10"/>
  <c r="H18" i="10" s="1"/>
  <c r="D27" i="5"/>
  <c r="O27" i="5" s="1"/>
  <c r="J59" i="4"/>
  <c r="D26" i="5"/>
  <c r="H53" i="4"/>
  <c r="H49" i="4" s="1"/>
  <c r="G25" i="5"/>
  <c r="D25" i="5"/>
  <c r="D24" i="5"/>
  <c r="O24" i="5" s="1"/>
  <c r="J44" i="4"/>
  <c r="D23" i="5"/>
  <c r="D22" i="5"/>
  <c r="D21" i="5"/>
  <c r="D20" i="5"/>
  <c r="E28" i="5"/>
  <c r="D19" i="5"/>
  <c r="J14" i="4"/>
  <c r="D18" i="5"/>
  <c r="O18" i="5" s="1"/>
  <c r="F28" i="5"/>
  <c r="D17" i="5"/>
  <c r="O16" i="5"/>
  <c r="H31" i="4"/>
  <c r="H38" i="4"/>
  <c r="H34" i="4" s="1"/>
  <c r="N22" i="5" s="1"/>
  <c r="I36" i="4"/>
  <c r="I38" i="4" s="1"/>
  <c r="I34" i="4" s="1"/>
  <c r="L22" i="5" s="1"/>
  <c r="H43" i="4"/>
  <c r="H39" i="4" s="1"/>
  <c r="N23" i="5" s="1"/>
  <c r="I41" i="4"/>
  <c r="I43" i="4" s="1"/>
  <c r="I39" i="4" s="1"/>
  <c r="L23" i="5" s="1"/>
  <c r="H23" i="4"/>
  <c r="H19" i="4" s="1"/>
  <c r="N19" i="5" s="1"/>
  <c r="I21" i="4"/>
  <c r="I23" i="4" s="1"/>
  <c r="I19" i="4" s="1"/>
  <c r="L19" i="5" s="1"/>
  <c r="H13" i="4"/>
  <c r="H9" i="4" s="1"/>
  <c r="N17" i="5" s="1"/>
  <c r="I11" i="4"/>
  <c r="I13" i="4" s="1"/>
  <c r="I9" i="4" s="1"/>
  <c r="L17" i="5" s="1"/>
  <c r="J4" i="4"/>
  <c r="H26" i="4"/>
  <c r="G23" i="4"/>
  <c r="G19" i="4" s="1"/>
  <c r="G19" i="5" s="1"/>
  <c r="H56" i="4"/>
  <c r="G58" i="4"/>
  <c r="G54" i="4" s="1"/>
  <c r="G26" i="5" s="1"/>
  <c r="G43" i="4"/>
  <c r="G39" i="4" s="1"/>
  <c r="G23" i="5" s="1"/>
  <c r="O3" i="11" l="1"/>
  <c r="F41" i="11"/>
  <c r="E43" i="11"/>
  <c r="E39" i="11" s="1"/>
  <c r="G36" i="11"/>
  <c r="D48" i="11"/>
  <c r="D44" i="11" s="1"/>
  <c r="E46" i="11"/>
  <c r="D51" i="11"/>
  <c r="H31" i="11"/>
  <c r="G33" i="11"/>
  <c r="G29" i="11" s="1"/>
  <c r="J18" i="10"/>
  <c r="J33" i="10"/>
  <c r="G10" i="10"/>
  <c r="F12" i="10"/>
  <c r="F8" i="10" s="1"/>
  <c r="H52" i="10"/>
  <c r="H48" i="10" s="1"/>
  <c r="J48" i="10" s="1"/>
  <c r="I50" i="10"/>
  <c r="I52" i="10" s="1"/>
  <c r="I48" i="10" s="1"/>
  <c r="H32" i="10"/>
  <c r="H28" i="10" s="1"/>
  <c r="I30" i="10"/>
  <c r="I32" i="10" s="1"/>
  <c r="I28" i="10" s="1"/>
  <c r="J28" i="10" s="1"/>
  <c r="J53" i="10"/>
  <c r="I15" i="10"/>
  <c r="I17" i="10" s="1"/>
  <c r="I13" i="10" s="1"/>
  <c r="H17" i="10"/>
  <c r="H13" i="10" s="1"/>
  <c r="O19" i="5"/>
  <c r="O22" i="5"/>
  <c r="O23" i="5"/>
  <c r="G28" i="5"/>
  <c r="I53" i="4"/>
  <c r="I49" i="4" s="1"/>
  <c r="L25" i="5" s="1"/>
  <c r="N25" i="5"/>
  <c r="J39" i="4"/>
  <c r="J34" i="4"/>
  <c r="J19" i="4"/>
  <c r="O17" i="5"/>
  <c r="J9" i="4"/>
  <c r="D28" i="5"/>
  <c r="H33" i="4"/>
  <c r="H29" i="4" s="1"/>
  <c r="I31" i="4"/>
  <c r="I33" i="4" s="1"/>
  <c r="I29" i="4" s="1"/>
  <c r="L21" i="5" s="1"/>
  <c r="H58" i="4"/>
  <c r="H54" i="4" s="1"/>
  <c r="N26" i="5" s="1"/>
  <c r="I56" i="4"/>
  <c r="I58" i="4" s="1"/>
  <c r="I54" i="4" s="1"/>
  <c r="L26" i="5" s="1"/>
  <c r="H28" i="4"/>
  <c r="H24" i="4" s="1"/>
  <c r="I26" i="4"/>
  <c r="I28" i="4" s="1"/>
  <c r="I24" i="4" s="1"/>
  <c r="L20" i="5" s="1"/>
  <c r="D56" i="11" l="1"/>
  <c r="D61" i="11"/>
  <c r="F46" i="11"/>
  <c r="E48" i="11"/>
  <c r="E44" i="11" s="1"/>
  <c r="G38" i="11"/>
  <c r="G34" i="11" s="1"/>
  <c r="H36" i="11"/>
  <c r="H33" i="11"/>
  <c r="H29" i="11" s="1"/>
  <c r="I31" i="11"/>
  <c r="I33" i="11" s="1"/>
  <c r="I29" i="11" s="1"/>
  <c r="G41" i="11"/>
  <c r="E51" i="11"/>
  <c r="D53" i="11"/>
  <c r="D49" i="11" s="1"/>
  <c r="J13" i="10"/>
  <c r="H10" i="10"/>
  <c r="G12" i="10"/>
  <c r="G8" i="10" s="1"/>
  <c r="D49" i="5"/>
  <c r="K49" i="5" s="1"/>
  <c r="O26" i="5"/>
  <c r="O25" i="5"/>
  <c r="J54" i="4"/>
  <c r="E73" i="10" s="1"/>
  <c r="D74" i="10" s="1"/>
  <c r="J49" i="4"/>
  <c r="N21" i="5"/>
  <c r="O21" i="5" s="1"/>
  <c r="J29" i="4"/>
  <c r="L28" i="5"/>
  <c r="N20" i="5"/>
  <c r="J24" i="4"/>
  <c r="J29" i="11" l="1"/>
  <c r="M8" i="11" s="1"/>
  <c r="E61" i="11"/>
  <c r="D63" i="11"/>
  <c r="D59" i="11" s="1"/>
  <c r="H38" i="11"/>
  <c r="H34" i="11" s="1"/>
  <c r="I36" i="11"/>
  <c r="I38" i="11" s="1"/>
  <c r="I34" i="11" s="1"/>
  <c r="E56" i="11"/>
  <c r="D58" i="11"/>
  <c r="D54" i="11" s="1"/>
  <c r="G43" i="11"/>
  <c r="G39" i="11" s="1"/>
  <c r="H41" i="11"/>
  <c r="J65" i="4"/>
  <c r="F51" i="11"/>
  <c r="E53" i="11"/>
  <c r="E49" i="11" s="1"/>
  <c r="G46" i="11"/>
  <c r="F48" i="11"/>
  <c r="F44" i="11" s="1"/>
  <c r="H12" i="10"/>
  <c r="H8" i="10" s="1"/>
  <c r="I10" i="10"/>
  <c r="I12" i="10" s="1"/>
  <c r="I8" i="10" s="1"/>
  <c r="N28" i="5"/>
  <c r="O28" i="5" s="1"/>
  <c r="O20" i="5"/>
  <c r="O8" i="11" l="1"/>
  <c r="E58" i="11"/>
  <c r="E54" i="11" s="1"/>
  <c r="F56" i="11"/>
  <c r="G51" i="11"/>
  <c r="F53" i="11"/>
  <c r="F49" i="11" s="1"/>
  <c r="G48" i="11"/>
  <c r="G44" i="11" s="1"/>
  <c r="H46" i="11"/>
  <c r="I41" i="11"/>
  <c r="I43" i="11" s="1"/>
  <c r="I39" i="11" s="1"/>
  <c r="H43" i="11"/>
  <c r="H39" i="11" s="1"/>
  <c r="F61" i="11"/>
  <c r="E63" i="11"/>
  <c r="E59" i="11" s="1"/>
  <c r="J8" i="10"/>
  <c r="J69" i="10" s="1"/>
  <c r="D43" i="5"/>
  <c r="K43" i="5" s="1"/>
  <c r="D41" i="5"/>
  <c r="K41" i="5" s="1"/>
  <c r="G61" i="11" l="1"/>
  <c r="F63" i="11"/>
  <c r="F59" i="11" s="1"/>
  <c r="F58" i="11"/>
  <c r="F54" i="11" s="1"/>
  <c r="G56" i="11"/>
  <c r="H48" i="11"/>
  <c r="H44" i="11" s="1"/>
  <c r="I46" i="11"/>
  <c r="I48" i="11" s="1"/>
  <c r="I44" i="11" s="1"/>
  <c r="H51" i="11"/>
  <c r="G53" i="11"/>
  <c r="G49" i="11" s="1"/>
  <c r="D47" i="5"/>
  <c r="K47" i="5" s="1"/>
  <c r="D45" i="5"/>
  <c r="K45" i="5" s="1"/>
  <c r="J44" i="11" l="1"/>
  <c r="M11" i="11" s="1"/>
  <c r="O11" i="11" s="1"/>
  <c r="G63" i="11"/>
  <c r="G59" i="11" s="1"/>
  <c r="H61" i="11"/>
  <c r="H53" i="11"/>
  <c r="H49" i="11" s="1"/>
  <c r="I51" i="11"/>
  <c r="I53" i="11" s="1"/>
  <c r="I49" i="11" s="1"/>
  <c r="H56" i="11"/>
  <c r="G58" i="11"/>
  <c r="G54" i="11" s="1"/>
  <c r="H58" i="11" l="1"/>
  <c r="H54" i="11" s="1"/>
  <c r="I56" i="11"/>
  <c r="I58" i="11" s="1"/>
  <c r="I54" i="11" s="1"/>
  <c r="I61" i="11"/>
  <c r="I63" i="11" s="1"/>
  <c r="I59" i="11" s="1"/>
  <c r="H63" i="11"/>
  <c r="H59" i="11" s="1"/>
  <c r="J49" i="11"/>
  <c r="M12" i="11" s="1"/>
  <c r="O12" i="11" s="1"/>
  <c r="J54" i="11" l="1"/>
  <c r="M13" i="11" s="1"/>
  <c r="O13" i="11" s="1"/>
  <c r="J59" i="11"/>
  <c r="M14" i="11" s="1"/>
  <c r="O14" i="11" s="1"/>
  <c r="F38" i="11" l="1"/>
  <c r="F34" i="11" s="1"/>
  <c r="J34" i="11" s="1"/>
  <c r="M9" i="11" s="1"/>
  <c r="F43" i="11"/>
  <c r="F39" i="11" s="1"/>
  <c r="J39" i="11" s="1"/>
  <c r="M10" i="11" s="1"/>
  <c r="O10" i="11" s="1"/>
  <c r="O9" i="11" l="1"/>
  <c r="M15" i="11"/>
  <c r="O15" i="11" s="1"/>
  <c r="O17" i="11" s="1"/>
  <c r="J65" i="11"/>
</calcChain>
</file>

<file path=xl/sharedStrings.xml><?xml version="1.0" encoding="utf-8"?>
<sst xmlns="http://schemas.openxmlformats.org/spreadsheetml/2006/main" count="573" uniqueCount="104">
  <si>
    <t>PLANEJAMENTO TRIBUTÁRIO</t>
  </si>
  <si>
    <t>Período</t>
  </si>
  <si>
    <t>Receita Bruta</t>
  </si>
  <si>
    <t>Área Federal</t>
  </si>
  <si>
    <t>Área Previdenciária</t>
  </si>
  <si>
    <t>Mês/Ano</t>
  </si>
  <si>
    <t>Mês</t>
  </si>
  <si>
    <t>Acumulada</t>
  </si>
  <si>
    <t>PIS</t>
  </si>
  <si>
    <t>COFINS</t>
  </si>
  <si>
    <t>IRPJ</t>
  </si>
  <si>
    <t>CSLL</t>
  </si>
  <si>
    <t>ICMS</t>
  </si>
  <si>
    <t>INSS - Patr.</t>
  </si>
  <si>
    <t>TOTAIS =====&gt;</t>
  </si>
  <si>
    <t>Área Estadual ICMS</t>
  </si>
  <si>
    <t>Área Municipal ISS</t>
  </si>
  <si>
    <t>IPI</t>
  </si>
  <si>
    <t>RESUMO FINAL</t>
  </si>
  <si>
    <t>Comparação em reais (R$)</t>
  </si>
  <si>
    <t>Comparação em percentuais (%)</t>
  </si>
  <si>
    <t>Total de tributos pagos pelo Lucro Real</t>
  </si>
  <si>
    <t>Lucro Real</t>
  </si>
  <si>
    <t>GRÁFICOS</t>
  </si>
  <si>
    <t>NOTAS EXPLICATIVAS</t>
  </si>
  <si>
    <t>①</t>
  </si>
  <si>
    <t>②</t>
  </si>
  <si>
    <t>③</t>
  </si>
  <si>
    <t>Receita Bruta Total em 12 meses</t>
  </si>
  <si>
    <t>Alíquota</t>
  </si>
  <si>
    <t>Quanto descontar do valor recolhido</t>
  </si>
  <si>
    <t>Até R$ 180.000,00</t>
  </si>
  <si>
    <t>De R$ 180.000,01 a R$ 360.000,00</t>
  </si>
  <si>
    <t>De R$ 360.000,01 a R$ 720.000,00</t>
  </si>
  <si>
    <t>De R$ 720.000,01 a R$ 1.800.000,00</t>
  </si>
  <si>
    <t>De R$ 1.800.000,01 a R$ 3.600.000,00</t>
  </si>
  <si>
    <t>De R$ 3.600.000,01 a R$ 4.800.000,00</t>
  </si>
  <si>
    <t>Tabela 1 Simples Nacional: Anexo 1 – Comércio</t>
  </si>
  <si>
    <t>Tabela 2 Simples Nacional: Anexo 2 – Indústria</t>
  </si>
  <si>
    <t>De R$ 1.800.000,01 a R$ R$ 3.600.000,00</t>
  </si>
  <si>
    <t>Tabela 3 Simples Nacional: Anexo 3 – Prestadores de Serviço</t>
  </si>
  <si>
    <t>Tabela 4 Simples Nacional: Anexo 4 – Prestadores de Serviço</t>
  </si>
  <si>
    <t>Tabela 5 Simples Nacional: Anexo 5 – Prestadores de Serviço</t>
  </si>
  <si>
    <t>De 180.000,01 a 360.000,00</t>
  </si>
  <si>
    <t>De 360.000,01 a 720.000,00</t>
  </si>
  <si>
    <t>De 720.000,01 a 1.800.000,00</t>
  </si>
  <si>
    <t>De 1.800.000,01 a 3.600.000,00</t>
  </si>
  <si>
    <t>De 3.600.000,01 a 4.800.000,00</t>
  </si>
  <si>
    <t>ANEXO</t>
  </si>
  <si>
    <t>III</t>
  </si>
  <si>
    <t>ALIQ NOMINAL</t>
  </si>
  <si>
    <t>PARCELA DEDUZIR</t>
  </si>
  <si>
    <t>CPP</t>
  </si>
  <si>
    <t>ISS</t>
  </si>
  <si>
    <t>Cofins</t>
  </si>
  <si>
    <t>Faixas</t>
  </si>
  <si>
    <t>PIS/Pasep</t>
  </si>
  <si>
    <t>1a Faixa</t>
  </si>
  <si>
    <t>2a Faixa</t>
  </si>
  <si>
    <t>3a Faixa</t>
  </si>
  <si>
    <t>4a Faixa</t>
  </si>
  <si>
    <t>5a Faixa</t>
  </si>
  <si>
    <t>6a Faixa</t>
  </si>
  <si>
    <t>ALIQ EFETIVA</t>
  </si>
  <si>
    <t>INSS/CPP</t>
  </si>
  <si>
    <t>–</t>
  </si>
  <si>
    <t xml:space="preserve">Período </t>
  </si>
  <si>
    <t>VALOR DAS</t>
  </si>
  <si>
    <t>SIMULAÇÃO FATURAMENTO</t>
  </si>
  <si>
    <t xml:space="preserve">TOTAL </t>
  </si>
  <si>
    <t>Receita</t>
  </si>
  <si>
    <t>COMPARATIVO FATURAMENTO -  SIMPLES NACIONAL</t>
  </si>
  <si>
    <t>SIMPLES NACIONAL - FATURAMENTO R$ 600.000,00</t>
  </si>
  <si>
    <t>Total de tributos faturamento R$ 600.000,00 anual</t>
  </si>
  <si>
    <t>Total de tributos faturamento R$ 700.000,00 anual</t>
  </si>
  <si>
    <t>Total de tributos faturamento R$ 800.000,00 anual</t>
  </si>
  <si>
    <t>Total de tributos faturamento R$ 900.000,00 anual</t>
  </si>
  <si>
    <t>Faturamento R$ 600.000,00</t>
  </si>
  <si>
    <t>Faturamento R$ 700.000,00</t>
  </si>
  <si>
    <t>Faturamento R$ 800.000,00</t>
  </si>
  <si>
    <t>Faturamento R$ 900.000,00</t>
  </si>
  <si>
    <t xml:space="preserve">VALOR DAS </t>
  </si>
  <si>
    <t xml:space="preserve">em analise utilizado anexo III - PRESTAÇÃO DE SERVIÇO </t>
  </si>
  <si>
    <r>
      <t xml:space="preserve">PERÍODO: </t>
    </r>
    <r>
      <rPr>
        <sz val="14"/>
        <color theme="1"/>
        <rFont val="Times New Roman"/>
        <family val="1"/>
      </rPr>
      <t>JANEIRO Á DEZEMBRO</t>
    </r>
  </si>
  <si>
    <t>40,00% (*)</t>
  </si>
  <si>
    <t>Faixa</t>
  </si>
  <si>
    <t>Percentual de ISS fixo em 5%</t>
  </si>
  <si>
    <t>(Alíquota efetiva 5%) x 32,00%</t>
  </si>
  <si>
    <t>Alíquota efetiva 5%) x 31,33%</t>
  </si>
  <si>
    <t>(Alíquota efetiva 5%) x 30,13%</t>
  </si>
  <si>
    <t>5a Faixa, com alíquota efetiva superior a 12,5%</t>
  </si>
  <si>
    <t>Alíquota efetiva 5%) x 6,54</t>
  </si>
  <si>
    <t>I</t>
  </si>
  <si>
    <t xml:space="preserve">EMPRESA: </t>
  </si>
  <si>
    <t>l</t>
  </si>
  <si>
    <t>COMERCIO</t>
  </si>
  <si>
    <t>INDUSTRIA</t>
  </si>
  <si>
    <t>V</t>
  </si>
  <si>
    <t>DIFERENÇA</t>
  </si>
  <si>
    <t>TOTAL</t>
  </si>
  <si>
    <t>VALOR  DEVIDO</t>
  </si>
  <si>
    <t>VALOR PAGO</t>
  </si>
  <si>
    <t>VALOR A PAGAR</t>
  </si>
  <si>
    <t xml:space="preserve">POR MÊS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</si>
</sst>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0.000000000%"/>
    <numFmt numFmtId="165" formatCode="&quot;R$&quot;\ #,##0.00"/>
    <numFmt numFmtId="166" formatCode="[$R$ -416]#,##0.00;[$R$ -416]\(#,##0.00\)"/>
  </numFmts>
  <fonts count="4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20"/>
      <color theme="1"/>
      <name val="Times New Roman"/>
      <family val="1"/>
    </font>
    <font>
      <b/>
      <sz val="16"/>
      <color rgb="FF006600"/>
      <name val="Times New Roman"/>
      <family val="1"/>
    </font>
    <font>
      <sz val="14"/>
      <color theme="1"/>
      <name val="Times New Roman"/>
      <family val="1"/>
    </font>
    <font>
      <b/>
      <sz val="12"/>
      <color rgb="FF006600"/>
      <name val="Times New Roman"/>
      <family val="1"/>
    </font>
    <font>
      <sz val="12"/>
      <color rgb="FF006600"/>
      <name val="Times New Roman"/>
      <family val="1"/>
    </font>
    <font>
      <sz val="10"/>
      <color rgb="FF006600"/>
      <name val="Times New Roman"/>
      <family val="1"/>
    </font>
    <font>
      <b/>
      <sz val="10"/>
      <color rgb="FF006600"/>
      <name val="Times New Roman"/>
      <family val="1"/>
    </font>
    <font>
      <sz val="10"/>
      <color theme="1"/>
      <name val="Times New Roman"/>
      <family val="1"/>
    </font>
    <font>
      <b/>
      <sz val="12"/>
      <color rgb="FF000099"/>
      <name val="Times New Roman"/>
      <family val="1"/>
    </font>
    <font>
      <sz val="12"/>
      <color rgb="FF000099"/>
      <name val="Times New Roman"/>
      <family val="1"/>
    </font>
    <font>
      <sz val="10"/>
      <color rgb="FF000099"/>
      <name val="Times New Roman"/>
      <family val="1"/>
    </font>
    <font>
      <b/>
      <sz val="10"/>
      <color rgb="FF000099"/>
      <name val="Times New Roman"/>
      <family val="1"/>
    </font>
    <font>
      <b/>
      <sz val="16"/>
      <color theme="5" tint="-0.499984740745262"/>
      <name val="Times New Roman"/>
      <family val="1"/>
    </font>
    <font>
      <b/>
      <sz val="12"/>
      <color theme="5" tint="-0.499984740745262"/>
      <name val="Times New Roman"/>
      <family val="1"/>
    </font>
    <font>
      <sz val="12"/>
      <color theme="5" tint="-0.499984740745262"/>
      <name val="Times New Roman"/>
      <family val="1"/>
    </font>
    <font>
      <sz val="10"/>
      <color theme="5" tint="-0.499984740745262"/>
      <name val="Times New Roman"/>
      <family val="1"/>
    </font>
    <font>
      <sz val="12"/>
      <color rgb="FFFF0000"/>
      <name val="Times New Roman"/>
      <family val="1"/>
    </font>
    <font>
      <b/>
      <sz val="10"/>
      <color theme="5" tint="-0.499984740745262"/>
      <name val="Times New Roman"/>
      <family val="1"/>
    </font>
    <font>
      <b/>
      <u/>
      <sz val="16"/>
      <color theme="1"/>
      <name val="Times New Roman"/>
      <family val="1"/>
    </font>
    <font>
      <b/>
      <u val="singleAccounting"/>
      <sz val="12"/>
      <color rgb="FF006600"/>
      <name val="Times New Roman"/>
      <family val="1"/>
    </font>
    <font>
      <b/>
      <u/>
      <sz val="12"/>
      <color rgb="FF006600"/>
      <name val="Times New Roman"/>
      <family val="1"/>
    </font>
    <font>
      <b/>
      <u val="singleAccounting"/>
      <sz val="12"/>
      <color rgb="FF000099"/>
      <name val="Times New Roman"/>
      <family val="1"/>
    </font>
    <font>
      <b/>
      <u/>
      <sz val="12"/>
      <color rgb="FF000099"/>
      <name val="Times New Roman"/>
      <family val="1"/>
    </font>
    <font>
      <sz val="12"/>
      <color theme="7" tint="-0.499984740745262"/>
      <name val="Times New Roman"/>
      <family val="1"/>
    </font>
    <font>
      <b/>
      <sz val="12"/>
      <color theme="7" tint="-0.499984740745262"/>
      <name val="Times New Roman"/>
      <family val="1"/>
    </font>
    <font>
      <b/>
      <sz val="10"/>
      <color rgb="FF002868"/>
      <name val="Lato"/>
      <family val="2"/>
    </font>
    <font>
      <sz val="8"/>
      <color rgb="FF30455C"/>
      <name val="Lato"/>
      <family val="2"/>
    </font>
    <font>
      <u/>
      <sz val="11"/>
      <color theme="10"/>
      <name val="Calibri"/>
      <family val="2"/>
      <scheme val="minor"/>
    </font>
    <font>
      <b/>
      <sz val="10"/>
      <color rgb="FF002868"/>
      <name val="Calibri"/>
      <family val="2"/>
      <scheme val="minor"/>
    </font>
    <font>
      <sz val="8"/>
      <color rgb="FF30455C"/>
      <name val="Calibri"/>
      <family val="2"/>
      <scheme val="minor"/>
    </font>
    <font>
      <sz val="11"/>
      <color theme="10"/>
      <name val="Calibri"/>
      <family val="2"/>
      <scheme val="minor"/>
    </font>
    <font>
      <b/>
      <sz val="10"/>
      <color rgb="FF002868"/>
      <name val="Lato"/>
      <family val="2"/>
    </font>
    <font>
      <sz val="8"/>
      <color rgb="FF30455C"/>
      <name val="Lato"/>
      <family val="2"/>
    </font>
    <font>
      <sz val="8"/>
      <color rgb="FF30455C"/>
      <name val="Lato"/>
      <family val="2"/>
    </font>
    <font>
      <sz val="10"/>
      <color rgb="FF000000"/>
      <name val="Arial"/>
      <family val="2"/>
    </font>
    <font>
      <sz val="10"/>
      <color rgb="FF632523"/>
      <name val="Times New Roman"/>
      <family val="1"/>
    </font>
    <font>
      <sz val="11"/>
      <color theme="5" tint="-0.499984740745262"/>
      <name val="Times New Roman"/>
      <family val="1"/>
    </font>
    <font>
      <b/>
      <sz val="8"/>
      <color rgb="FF002868"/>
      <name val="Lato"/>
      <family val="2"/>
    </font>
    <font>
      <u/>
      <sz val="8"/>
      <color theme="10"/>
      <name val="Calibri"/>
      <family val="2"/>
      <scheme val="minor"/>
    </font>
    <font>
      <sz val="8"/>
      <color rgb="FF34404D"/>
      <name val="Lato"/>
      <family val="2"/>
    </font>
    <font>
      <b/>
      <sz val="12"/>
      <color theme="9" tint="-0.499984740745262"/>
      <name val="Times New Roman"/>
      <family val="1"/>
    </font>
    <font>
      <sz val="10"/>
      <color theme="9" tint="-0.499984740745262"/>
      <name val="Times New Roman"/>
      <family val="1"/>
    </font>
    <font>
      <sz val="11"/>
      <color theme="9" tint="-0.499984740745262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7FB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</fills>
  <borders count="5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rgb="FFD9E8F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2" fillId="0" borderId="0" applyNumberFormat="0" applyFill="0" applyBorder="0" applyAlignment="0" applyProtection="0"/>
  </cellStyleXfs>
  <cellXfs count="339">
    <xf numFmtId="0" fontId="0" fillId="0" borderId="0" xfId="0"/>
    <xf numFmtId="0" fontId="4" fillId="0" borderId="0" xfId="0" applyFont="1"/>
    <xf numFmtId="0" fontId="4" fillId="0" borderId="0" xfId="0" applyFont="1" applyAlignment="1">
      <alignment vertical="center"/>
    </xf>
    <xf numFmtId="0" fontId="18" fillId="0" borderId="1" xfId="0" applyFont="1" applyBorder="1" applyAlignment="1">
      <alignment horizontal="center"/>
    </xf>
    <xf numFmtId="0" fontId="18" fillId="0" borderId="8" xfId="0" applyFont="1" applyBorder="1" applyAlignment="1">
      <alignment horizontal="center"/>
    </xf>
    <xf numFmtId="17" fontId="20" fillId="0" borderId="10" xfId="0" applyNumberFormat="1" applyFont="1" applyBorder="1" applyAlignment="1">
      <alignment horizontal="center"/>
    </xf>
    <xf numFmtId="44" fontId="20" fillId="0" borderId="10" xfId="1" applyFont="1" applyFill="1" applyBorder="1"/>
    <xf numFmtId="44" fontId="20" fillId="0" borderId="13" xfId="1" applyFont="1" applyFill="1" applyBorder="1"/>
    <xf numFmtId="0" fontId="21" fillId="0" borderId="0" xfId="0" applyFont="1"/>
    <xf numFmtId="17" fontId="20" fillId="0" borderId="11" xfId="0" applyNumberFormat="1" applyFont="1" applyBorder="1" applyAlignment="1">
      <alignment horizontal="center"/>
    </xf>
    <xf numFmtId="44" fontId="20" fillId="0" borderId="11" xfId="1" applyFont="1" applyFill="1" applyBorder="1"/>
    <xf numFmtId="0" fontId="9" fillId="0" borderId="0" xfId="0" applyFont="1"/>
    <xf numFmtId="0" fontId="14" fillId="0" borderId="0" xfId="0" applyFont="1"/>
    <xf numFmtId="0" fontId="28" fillId="0" borderId="0" xfId="0" applyFont="1"/>
    <xf numFmtId="0" fontId="33" fillId="7" borderId="22" xfId="0" applyFont="1" applyFill="1" applyBorder="1" applyAlignment="1">
      <alignment horizontal="left" vertical="top" wrapText="1"/>
    </xf>
    <xf numFmtId="0" fontId="34" fillId="0" borderId="22" xfId="0" applyFont="1" applyBorder="1" applyAlignment="1">
      <alignment horizontal="left" vertical="center" wrapText="1"/>
    </xf>
    <xf numFmtId="10" fontId="0" fillId="0" borderId="0" xfId="0" applyNumberFormat="1"/>
    <xf numFmtId="10" fontId="34" fillId="0" borderId="22" xfId="0" applyNumberFormat="1" applyFont="1" applyBorder="1" applyAlignment="1">
      <alignment horizontal="left" vertical="center" wrapText="1"/>
    </xf>
    <xf numFmtId="8" fontId="34" fillId="0" borderId="22" xfId="0" applyNumberFormat="1" applyFont="1" applyBorder="1" applyAlignment="1">
      <alignment horizontal="left" vertical="center" wrapText="1"/>
    </xf>
    <xf numFmtId="9" fontId="34" fillId="0" borderId="22" xfId="0" applyNumberFormat="1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8" fontId="0" fillId="0" borderId="0" xfId="0" applyNumberFormat="1" applyAlignment="1">
      <alignment horizontal="center"/>
    </xf>
    <xf numFmtId="10" fontId="0" fillId="0" borderId="0" xfId="2" applyNumberFormat="1" applyFont="1"/>
    <xf numFmtId="164" fontId="0" fillId="0" borderId="0" xfId="0" applyNumberFormat="1"/>
    <xf numFmtId="44" fontId="20" fillId="0" borderId="12" xfId="1" applyFont="1" applyFill="1" applyBorder="1"/>
    <xf numFmtId="10" fontId="0" fillId="0" borderId="0" xfId="0" applyNumberFormat="1" applyAlignment="1">
      <alignment horizontal="center"/>
    </xf>
    <xf numFmtId="0" fontId="30" fillId="7" borderId="0" xfId="0" applyFont="1" applyFill="1" applyAlignment="1">
      <alignment horizontal="left" vertical="top" wrapText="1"/>
    </xf>
    <xf numFmtId="0" fontId="31" fillId="6" borderId="5" xfId="0" applyFont="1" applyFill="1" applyBorder="1" applyAlignment="1">
      <alignment horizontal="left" vertical="center" wrapText="1"/>
    </xf>
    <xf numFmtId="9" fontId="31" fillId="6" borderId="5" xfId="0" applyNumberFormat="1" applyFont="1" applyFill="1" applyBorder="1" applyAlignment="1">
      <alignment horizontal="left" vertical="center" wrapText="1"/>
    </xf>
    <xf numFmtId="10" fontId="31" fillId="6" borderId="5" xfId="0" applyNumberFormat="1" applyFont="1" applyFill="1" applyBorder="1" applyAlignment="1">
      <alignment horizontal="left" vertical="center" wrapText="1"/>
    </xf>
    <xf numFmtId="0" fontId="33" fillId="7" borderId="0" xfId="0" applyFont="1" applyFill="1" applyAlignment="1">
      <alignment horizontal="left" vertical="top" wrapText="1"/>
    </xf>
    <xf numFmtId="0" fontId="34" fillId="0" borderId="5" xfId="0" applyFont="1" applyBorder="1" applyAlignment="1">
      <alignment horizontal="left" vertical="center" wrapText="1"/>
    </xf>
    <xf numFmtId="10" fontId="34" fillId="0" borderId="5" xfId="0" applyNumberFormat="1" applyFont="1" applyBorder="1" applyAlignment="1">
      <alignment horizontal="left" vertical="center" wrapText="1"/>
    </xf>
    <xf numFmtId="8" fontId="34" fillId="0" borderId="5" xfId="0" applyNumberFormat="1" applyFont="1" applyBorder="1" applyAlignment="1">
      <alignment horizontal="left" vertical="center" wrapText="1"/>
    </xf>
    <xf numFmtId="9" fontId="34" fillId="0" borderId="5" xfId="0" applyNumberFormat="1" applyFont="1" applyBorder="1" applyAlignment="1">
      <alignment horizontal="left" vertical="center" wrapText="1"/>
    </xf>
    <xf numFmtId="0" fontId="31" fillId="0" borderId="5" xfId="0" applyFont="1" applyBorder="1"/>
    <xf numFmtId="10" fontId="31" fillId="0" borderId="5" xfId="0" applyNumberFormat="1" applyFont="1" applyBorder="1" applyAlignment="1">
      <alignment horizontal="left"/>
    </xf>
    <xf numFmtId="4" fontId="31" fillId="6" borderId="5" xfId="0" applyNumberFormat="1" applyFont="1" applyFill="1" applyBorder="1" applyAlignment="1">
      <alignment horizontal="left" vertical="center" wrapText="1"/>
    </xf>
    <xf numFmtId="10" fontId="31" fillId="6" borderId="5" xfId="0" applyNumberFormat="1" applyFont="1" applyFill="1" applyBorder="1" applyAlignment="1">
      <alignment horizontal="center" vertical="center" wrapText="1"/>
    </xf>
    <xf numFmtId="0" fontId="31" fillId="6" borderId="5" xfId="0" applyFont="1" applyFill="1" applyBorder="1" applyAlignment="1">
      <alignment horizontal="center" vertical="center" wrapText="1"/>
    </xf>
    <xf numFmtId="0" fontId="30" fillId="7" borderId="5" xfId="0" applyFont="1" applyFill="1" applyBorder="1" applyAlignment="1">
      <alignment horizontal="center" vertical="center" wrapText="1"/>
    </xf>
    <xf numFmtId="0" fontId="32" fillId="7" borderId="5" xfId="3" applyFill="1" applyBorder="1" applyAlignment="1">
      <alignment horizontal="center" vertical="center" wrapText="1"/>
    </xf>
    <xf numFmtId="0" fontId="33" fillId="7" borderId="5" xfId="0" applyFont="1" applyFill="1" applyBorder="1" applyAlignment="1">
      <alignment horizontal="left" vertical="top" wrapText="1"/>
    </xf>
    <xf numFmtId="0" fontId="31" fillId="6" borderId="18" xfId="0" applyFont="1" applyFill="1" applyBorder="1" applyAlignment="1">
      <alignment horizontal="left" vertical="center" wrapText="1"/>
    </xf>
    <xf numFmtId="8" fontId="31" fillId="6" borderId="18" xfId="0" applyNumberFormat="1" applyFont="1" applyFill="1" applyBorder="1" applyAlignment="1">
      <alignment horizontal="left" vertical="center" wrapText="1"/>
    </xf>
    <xf numFmtId="10" fontId="37" fillId="6" borderId="5" xfId="0" applyNumberFormat="1" applyFont="1" applyFill="1" applyBorder="1" applyAlignment="1">
      <alignment horizontal="center" vertical="center" wrapText="1"/>
    </xf>
    <xf numFmtId="0" fontId="37" fillId="6" borderId="5" xfId="0" applyFont="1" applyFill="1" applyBorder="1" applyAlignment="1">
      <alignment horizontal="center" vertical="center" wrapText="1"/>
    </xf>
    <xf numFmtId="0" fontId="36" fillId="7" borderId="5" xfId="0" applyFont="1" applyFill="1" applyBorder="1" applyAlignment="1">
      <alignment horizontal="center" vertical="center" wrapText="1"/>
    </xf>
    <xf numFmtId="17" fontId="0" fillId="10" borderId="5" xfId="0" applyNumberFormat="1" applyFill="1" applyBorder="1"/>
    <xf numFmtId="165" fontId="0" fillId="10" borderId="5" xfId="0" applyNumberFormat="1" applyFill="1" applyBorder="1"/>
    <xf numFmtId="17" fontId="0" fillId="0" borderId="5" xfId="0" applyNumberFormat="1" applyBorder="1"/>
    <xf numFmtId="44" fontId="0" fillId="0" borderId="10" xfId="0" applyNumberFormat="1" applyBorder="1"/>
    <xf numFmtId="0" fontId="0" fillId="0" borderId="11" xfId="0" applyBorder="1"/>
    <xf numFmtId="44" fontId="0" fillId="0" borderId="11" xfId="0" applyNumberFormat="1" applyBorder="1"/>
    <xf numFmtId="44" fontId="0" fillId="0" borderId="24" xfId="0" applyNumberFormat="1" applyBorder="1"/>
    <xf numFmtId="0" fontId="0" fillId="0" borderId="2" xfId="0" applyBorder="1"/>
    <xf numFmtId="0" fontId="0" fillId="0" borderId="3" xfId="0" applyBorder="1"/>
    <xf numFmtId="164" fontId="0" fillId="0" borderId="3" xfId="0" applyNumberFormat="1" applyBorder="1"/>
    <xf numFmtId="0" fontId="18" fillId="0" borderId="9" xfId="0" applyFont="1" applyBorder="1" applyAlignment="1">
      <alignment horizontal="center"/>
    </xf>
    <xf numFmtId="0" fontId="0" fillId="0" borderId="5" xfId="0" applyBorder="1"/>
    <xf numFmtId="44" fontId="0" fillId="0" borderId="5" xfId="0" applyNumberFormat="1" applyBorder="1"/>
    <xf numFmtId="0" fontId="0" fillId="0" borderId="5" xfId="0" applyBorder="1" applyAlignment="1">
      <alignment horizontal="center" vertical="center"/>
    </xf>
    <xf numFmtId="0" fontId="18" fillId="0" borderId="14" xfId="0" applyFont="1" applyBorder="1" applyAlignment="1">
      <alignment horizontal="center"/>
    </xf>
    <xf numFmtId="0" fontId="18" fillId="0" borderId="7" xfId="0" applyFont="1" applyBorder="1" applyAlignment="1">
      <alignment horizontal="center"/>
    </xf>
    <xf numFmtId="44" fontId="20" fillId="0" borderId="15" xfId="1" applyFont="1" applyFill="1" applyBorder="1"/>
    <xf numFmtId="0" fontId="0" fillId="0" borderId="11" xfId="0" applyBorder="1" applyAlignment="1">
      <alignment horizontal="center"/>
    </xf>
    <xf numFmtId="17" fontId="20" fillId="0" borderId="24" xfId="0" applyNumberFormat="1" applyFont="1" applyBorder="1" applyAlignment="1">
      <alignment horizontal="center"/>
    </xf>
    <xf numFmtId="10" fontId="0" fillId="0" borderId="11" xfId="0" applyNumberFormat="1" applyBorder="1" applyAlignment="1">
      <alignment horizontal="center"/>
    </xf>
    <xf numFmtId="44" fontId="21" fillId="0" borderId="5" xfId="0" applyNumberFormat="1" applyFont="1" applyBorder="1" applyAlignment="1">
      <alignment horizontal="center"/>
    </xf>
    <xf numFmtId="44" fontId="4" fillId="0" borderId="5" xfId="0" applyNumberFormat="1" applyFont="1" applyBorder="1" applyAlignment="1">
      <alignment horizontal="center"/>
    </xf>
    <xf numFmtId="0" fontId="4" fillId="0" borderId="5" xfId="0" applyFont="1" applyBorder="1"/>
    <xf numFmtId="0" fontId="18" fillId="0" borderId="5" xfId="0" applyFont="1" applyBorder="1" applyAlignment="1">
      <alignment horizontal="center"/>
    </xf>
    <xf numFmtId="0" fontId="12" fillId="3" borderId="5" xfId="0" applyFont="1" applyFill="1" applyBorder="1" applyAlignment="1">
      <alignment horizontal="center" vertical="center"/>
    </xf>
    <xf numFmtId="0" fontId="4" fillId="0" borderId="21" xfId="0" applyFont="1" applyBorder="1"/>
    <xf numFmtId="0" fontId="9" fillId="0" borderId="21" xfId="0" applyFont="1" applyBorder="1"/>
    <xf numFmtId="0" fontId="28" fillId="0" borderId="21" xfId="0" applyFont="1" applyBorder="1"/>
    <xf numFmtId="0" fontId="14" fillId="0" borderId="21" xfId="0" applyFont="1" applyBorder="1"/>
    <xf numFmtId="17" fontId="20" fillId="0" borderId="5" xfId="0" applyNumberFormat="1" applyFont="1" applyBorder="1" applyAlignment="1">
      <alignment horizontal="center"/>
    </xf>
    <xf numFmtId="44" fontId="20" fillId="0" borderId="5" xfId="1" applyFont="1" applyFill="1" applyBorder="1"/>
    <xf numFmtId="44" fontId="20" fillId="4" borderId="5" xfId="1" applyFont="1" applyFill="1" applyBorder="1"/>
    <xf numFmtId="0" fontId="18" fillId="0" borderId="5" xfId="0" applyFont="1" applyBorder="1"/>
    <xf numFmtId="44" fontId="22" fillId="8" borderId="5" xfId="0" applyNumberFormat="1" applyFont="1" applyFill="1" applyBorder="1" applyAlignment="1">
      <alignment vertical="center"/>
    </xf>
    <xf numFmtId="44" fontId="22" fillId="0" borderId="5" xfId="0" applyNumberFormat="1" applyFont="1" applyBorder="1" applyAlignment="1">
      <alignment vertical="center"/>
    </xf>
    <xf numFmtId="44" fontId="22" fillId="4" borderId="5" xfId="0" applyNumberFormat="1" applyFont="1" applyFill="1" applyBorder="1" applyAlignment="1">
      <alignment vertical="center"/>
    </xf>
    <xf numFmtId="0" fontId="3" fillId="3" borderId="5" xfId="0" applyFont="1" applyFill="1" applyBorder="1" applyAlignment="1">
      <alignment horizontal="center" vertical="center"/>
    </xf>
    <xf numFmtId="0" fontId="23" fillId="5" borderId="5" xfId="0" applyFont="1" applyFill="1" applyBorder="1"/>
    <xf numFmtId="0" fontId="3" fillId="3" borderId="5" xfId="0" applyFont="1" applyFill="1" applyBorder="1" applyAlignment="1">
      <alignment vertical="center"/>
    </xf>
    <xf numFmtId="0" fontId="9" fillId="3" borderId="5" xfId="0" applyFont="1" applyFill="1" applyBorder="1"/>
    <xf numFmtId="165" fontId="8" fillId="3" borderId="5" xfId="0" applyNumberFormat="1" applyFont="1" applyFill="1" applyBorder="1" applyAlignment="1">
      <alignment horizontal="center"/>
    </xf>
    <xf numFmtId="10" fontId="11" fillId="3" borderId="5" xfId="2" applyNumberFormat="1" applyFont="1" applyFill="1" applyBorder="1" applyAlignment="1">
      <alignment vertical="center"/>
    </xf>
    <xf numFmtId="44" fontId="24" fillId="3" borderId="5" xfId="0" applyNumberFormat="1" applyFont="1" applyFill="1" applyBorder="1" applyAlignment="1">
      <alignment horizontal="center"/>
    </xf>
    <xf numFmtId="0" fontId="8" fillId="3" borderId="5" xfId="0" applyFont="1" applyFill="1" applyBorder="1"/>
    <xf numFmtId="0" fontId="28" fillId="3" borderId="5" xfId="0" applyFont="1" applyFill="1" applyBorder="1"/>
    <xf numFmtId="165" fontId="18" fillId="3" borderId="5" xfId="0" applyNumberFormat="1" applyFont="1" applyFill="1" applyBorder="1" applyAlignment="1">
      <alignment horizontal="center"/>
    </xf>
    <xf numFmtId="0" fontId="29" fillId="3" borderId="5" xfId="0" applyFont="1" applyFill="1" applyBorder="1"/>
    <xf numFmtId="0" fontId="25" fillId="3" borderId="5" xfId="0" applyFont="1" applyFill="1" applyBorder="1" applyAlignment="1">
      <alignment vertical="center"/>
    </xf>
    <xf numFmtId="0" fontId="4" fillId="3" borderId="5" xfId="0" applyFont="1" applyFill="1" applyBorder="1"/>
    <xf numFmtId="0" fontId="4" fillId="3" borderId="5" xfId="0" applyFont="1" applyFill="1" applyBorder="1" applyAlignment="1">
      <alignment horizontal="left"/>
    </xf>
    <xf numFmtId="0" fontId="15" fillId="3" borderId="5" xfId="0" applyFont="1" applyFill="1" applyBorder="1"/>
    <xf numFmtId="0" fontId="14" fillId="3" borderId="5" xfId="0" applyFont="1" applyFill="1" applyBorder="1"/>
    <xf numFmtId="44" fontId="13" fillId="3" borderId="5" xfId="0" applyNumberFormat="1" applyFont="1" applyFill="1" applyBorder="1"/>
    <xf numFmtId="44" fontId="26" fillId="3" borderId="5" xfId="0" applyNumberFormat="1" applyFont="1" applyFill="1" applyBorder="1"/>
    <xf numFmtId="0" fontId="16" fillId="3" borderId="5" xfId="0" applyFont="1" applyFill="1" applyBorder="1" applyAlignment="1">
      <alignment vertical="center"/>
    </xf>
    <xf numFmtId="10" fontId="16" fillId="3" borderId="5" xfId="2" applyNumberFormat="1" applyFont="1" applyFill="1" applyBorder="1" applyAlignment="1">
      <alignment horizontal="center" vertical="center"/>
    </xf>
    <xf numFmtId="0" fontId="27" fillId="3" borderId="5" xfId="0" applyFont="1" applyFill="1" applyBorder="1" applyAlignment="1">
      <alignment vertical="center"/>
    </xf>
    <xf numFmtId="0" fontId="13" fillId="3" borderId="5" xfId="0" applyFont="1" applyFill="1" applyBorder="1"/>
    <xf numFmtId="0" fontId="36" fillId="7" borderId="31" xfId="0" applyFont="1" applyFill="1" applyBorder="1" applyAlignment="1">
      <alignment horizontal="left" vertical="top" wrapText="1"/>
    </xf>
    <xf numFmtId="0" fontId="32" fillId="7" borderId="31" xfId="3" applyFill="1" applyBorder="1" applyAlignment="1">
      <alignment horizontal="left" vertical="top" wrapText="1"/>
    </xf>
    <xf numFmtId="10" fontId="38" fillId="6" borderId="31" xfId="0" applyNumberFormat="1" applyFont="1" applyFill="1" applyBorder="1" applyAlignment="1">
      <alignment horizontal="left" vertical="center" wrapText="1"/>
    </xf>
    <xf numFmtId="0" fontId="38" fillId="6" borderId="31" xfId="0" applyFont="1" applyFill="1" applyBorder="1" applyAlignment="1">
      <alignment horizontal="left" vertical="center" wrapText="1"/>
    </xf>
    <xf numFmtId="44" fontId="0" fillId="0" borderId="0" xfId="0" applyNumberFormat="1"/>
    <xf numFmtId="0" fontId="31" fillId="3" borderId="5" xfId="0" applyFont="1" applyFill="1" applyBorder="1" applyAlignment="1">
      <alignment horizontal="left" vertical="center" wrapText="1"/>
    </xf>
    <xf numFmtId="10" fontId="31" fillId="3" borderId="5" xfId="0" applyNumberFormat="1" applyFont="1" applyFill="1" applyBorder="1" applyAlignment="1">
      <alignment horizontal="left" vertical="center" wrapText="1"/>
    </xf>
    <xf numFmtId="8" fontId="31" fillId="3" borderId="18" xfId="0" applyNumberFormat="1" applyFont="1" applyFill="1" applyBorder="1" applyAlignment="1">
      <alignment horizontal="left" vertical="center" wrapText="1"/>
    </xf>
    <xf numFmtId="10" fontId="37" fillId="3" borderId="5" xfId="0" applyNumberFormat="1" applyFont="1" applyFill="1" applyBorder="1" applyAlignment="1">
      <alignment horizontal="center" vertical="center" wrapText="1"/>
    </xf>
    <xf numFmtId="0" fontId="37" fillId="3" borderId="5" xfId="0" applyFont="1" applyFill="1" applyBorder="1" applyAlignment="1">
      <alignment horizontal="center" vertical="center" wrapText="1"/>
    </xf>
    <xf numFmtId="10" fontId="0" fillId="3" borderId="0" xfId="0" applyNumberFormat="1" applyFill="1"/>
    <xf numFmtId="166" fontId="39" fillId="12" borderId="5" xfId="0" applyNumberFormat="1" applyFont="1" applyFill="1" applyBorder="1" applyAlignment="1">
      <alignment horizontal="right"/>
    </xf>
    <xf numFmtId="166" fontId="0" fillId="0" borderId="0" xfId="0" applyNumberFormat="1"/>
    <xf numFmtId="44" fontId="20" fillId="13" borderId="11" xfId="1" applyFont="1" applyFill="1" applyBorder="1"/>
    <xf numFmtId="44" fontId="20" fillId="13" borderId="15" xfId="1" applyFont="1" applyFill="1" applyBorder="1"/>
    <xf numFmtId="44" fontId="20" fillId="13" borderId="13" xfId="1" applyFont="1" applyFill="1" applyBorder="1"/>
    <xf numFmtId="44" fontId="20" fillId="13" borderId="12" xfId="1" applyFont="1" applyFill="1" applyBorder="1"/>
    <xf numFmtId="0" fontId="0" fillId="13" borderId="0" xfId="0" applyFill="1" applyAlignment="1">
      <alignment horizontal="center"/>
    </xf>
    <xf numFmtId="0" fontId="0" fillId="13" borderId="0" xfId="0" applyFill="1"/>
    <xf numFmtId="8" fontId="0" fillId="13" borderId="0" xfId="0" applyNumberFormat="1" applyFill="1" applyAlignment="1">
      <alignment horizontal="center"/>
    </xf>
    <xf numFmtId="10" fontId="0" fillId="13" borderId="0" xfId="2" applyNumberFormat="1" applyFont="1" applyFill="1"/>
    <xf numFmtId="10" fontId="0" fillId="13" borderId="0" xfId="0" applyNumberFormat="1" applyFill="1"/>
    <xf numFmtId="164" fontId="0" fillId="13" borderId="0" xfId="0" applyNumberFormat="1" applyFill="1"/>
    <xf numFmtId="0" fontId="0" fillId="13" borderId="3" xfId="0" applyFill="1" applyBorder="1"/>
    <xf numFmtId="17" fontId="20" fillId="13" borderId="11" xfId="0" applyNumberFormat="1" applyFont="1" applyFill="1" applyBorder="1" applyAlignment="1">
      <alignment horizontal="center"/>
    </xf>
    <xf numFmtId="44" fontId="0" fillId="13" borderId="11" xfId="0" applyNumberFormat="1" applyFill="1" applyBorder="1"/>
    <xf numFmtId="0" fontId="0" fillId="13" borderId="11" xfId="0" applyFill="1" applyBorder="1" applyAlignment="1">
      <alignment horizontal="center"/>
    </xf>
    <xf numFmtId="0" fontId="0" fillId="13" borderId="11" xfId="0" applyFill="1" applyBorder="1"/>
    <xf numFmtId="10" fontId="0" fillId="13" borderId="11" xfId="0" applyNumberFormat="1" applyFill="1" applyBorder="1" applyAlignment="1">
      <alignment horizontal="center"/>
    </xf>
    <xf numFmtId="0" fontId="0" fillId="13" borderId="6" xfId="0" applyFill="1" applyBorder="1"/>
    <xf numFmtId="164" fontId="0" fillId="13" borderId="14" xfId="0" applyNumberFormat="1" applyFill="1" applyBorder="1"/>
    <xf numFmtId="17" fontId="20" fillId="3" borderId="11" xfId="0" applyNumberFormat="1" applyFont="1" applyFill="1" applyBorder="1" applyAlignment="1">
      <alignment horizontal="center"/>
    </xf>
    <xf numFmtId="44" fontId="20" fillId="3" borderId="11" xfId="1" applyFont="1" applyFill="1" applyBorder="1"/>
    <xf numFmtId="44" fontId="20" fillId="3" borderId="13" xfId="1" applyFont="1" applyFill="1" applyBorder="1"/>
    <xf numFmtId="0" fontId="0" fillId="3" borderId="11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11" xfId="0" applyFill="1" applyBorder="1"/>
    <xf numFmtId="10" fontId="0" fillId="3" borderId="11" xfId="0" applyNumberFormat="1" applyFill="1" applyBorder="1" applyAlignment="1">
      <alignment horizontal="center"/>
    </xf>
    <xf numFmtId="8" fontId="0" fillId="3" borderId="0" xfId="0" applyNumberFormat="1" applyFill="1" applyAlignment="1">
      <alignment horizontal="center"/>
    </xf>
    <xf numFmtId="166" fontId="39" fillId="9" borderId="5" xfId="0" applyNumberFormat="1" applyFont="1" applyFill="1" applyBorder="1" applyAlignment="1">
      <alignment horizontal="right"/>
    </xf>
    <xf numFmtId="0" fontId="13" fillId="0" borderId="38" xfId="0" applyFont="1" applyBorder="1" applyAlignment="1">
      <alignment horizontal="center"/>
    </xf>
    <xf numFmtId="0" fontId="18" fillId="0" borderId="2" xfId="0" applyFont="1" applyBorder="1" applyAlignment="1">
      <alignment horizontal="center"/>
    </xf>
    <xf numFmtId="17" fontId="20" fillId="0" borderId="7" xfId="0" applyNumberFormat="1" applyFont="1" applyBorder="1" applyAlignment="1">
      <alignment horizontal="center"/>
    </xf>
    <xf numFmtId="44" fontId="20" fillId="9" borderId="24" xfId="1" applyFont="1" applyFill="1" applyBorder="1"/>
    <xf numFmtId="44" fontId="20" fillId="0" borderId="36" xfId="1" applyFont="1" applyFill="1" applyBorder="1"/>
    <xf numFmtId="44" fontId="20" fillId="3" borderId="14" xfId="1" applyFont="1" applyFill="1" applyBorder="1"/>
    <xf numFmtId="44" fontId="20" fillId="3" borderId="7" xfId="1" applyFont="1" applyFill="1" applyBorder="1"/>
    <xf numFmtId="44" fontId="40" fillId="3" borderId="37" xfId="1" applyFont="1" applyFill="1" applyBorder="1"/>
    <xf numFmtId="44" fontId="20" fillId="3" borderId="32" xfId="1" applyFont="1" applyFill="1" applyBorder="1"/>
    <xf numFmtId="44" fontId="41" fillId="3" borderId="14" xfId="1" applyFont="1" applyFill="1" applyBorder="1"/>
    <xf numFmtId="17" fontId="20" fillId="0" borderId="33" xfId="0" applyNumberFormat="1" applyFont="1" applyBorder="1" applyAlignment="1">
      <alignment horizontal="center"/>
    </xf>
    <xf numFmtId="44" fontId="20" fillId="0" borderId="33" xfId="1" applyFont="1" applyFill="1" applyBorder="1"/>
    <xf numFmtId="44" fontId="0" fillId="0" borderId="39" xfId="0" applyNumberFormat="1" applyBorder="1"/>
    <xf numFmtId="0" fontId="0" fillId="0" borderId="39" xfId="0" applyBorder="1"/>
    <xf numFmtId="0" fontId="0" fillId="0" borderId="36" xfId="0" applyBorder="1"/>
    <xf numFmtId="0" fontId="0" fillId="0" borderId="37" xfId="0" applyBorder="1"/>
    <xf numFmtId="10" fontId="44" fillId="0" borderId="32" xfId="0" applyNumberFormat="1" applyFont="1" applyBorder="1" applyAlignment="1">
      <alignment horizontal="left" vertical="center" wrapText="1"/>
    </xf>
    <xf numFmtId="0" fontId="44" fillId="0" borderId="32" xfId="0" applyFont="1" applyBorder="1" applyAlignment="1">
      <alignment horizontal="left" vertical="center" wrapText="1"/>
    </xf>
    <xf numFmtId="0" fontId="42" fillId="7" borderId="32" xfId="0" applyFont="1" applyFill="1" applyBorder="1" applyAlignment="1">
      <alignment horizontal="left" vertical="top" wrapText="1"/>
    </xf>
    <xf numFmtId="0" fontId="43" fillId="7" borderId="32" xfId="3" applyFont="1" applyFill="1" applyBorder="1" applyAlignment="1">
      <alignment horizontal="left" vertical="top" wrapText="1"/>
    </xf>
    <xf numFmtId="10" fontId="44" fillId="0" borderId="8" xfId="0" applyNumberFormat="1" applyFont="1" applyBorder="1" applyAlignment="1">
      <alignment horizontal="left" vertical="center" wrapText="1"/>
    </xf>
    <xf numFmtId="0" fontId="34" fillId="11" borderId="22" xfId="0" applyFont="1" applyFill="1" applyBorder="1" applyAlignment="1">
      <alignment horizontal="left" vertical="center" wrapText="1"/>
    </xf>
    <xf numFmtId="10" fontId="34" fillId="11" borderId="22" xfId="0" applyNumberFormat="1" applyFont="1" applyFill="1" applyBorder="1" applyAlignment="1">
      <alignment horizontal="left" vertical="center" wrapText="1"/>
    </xf>
    <xf numFmtId="8" fontId="34" fillId="11" borderId="22" xfId="0" applyNumberFormat="1" applyFont="1" applyFill="1" applyBorder="1" applyAlignment="1">
      <alignment horizontal="left" vertical="center" wrapText="1"/>
    </xf>
    <xf numFmtId="10" fontId="44" fillId="11" borderId="32" xfId="0" applyNumberFormat="1" applyFont="1" applyFill="1" applyBorder="1" applyAlignment="1">
      <alignment horizontal="left" vertical="center" wrapText="1"/>
    </xf>
    <xf numFmtId="0" fontId="44" fillId="11" borderId="32" xfId="0" applyFont="1" applyFill="1" applyBorder="1" applyAlignment="1">
      <alignment horizontal="left" vertical="center" wrapText="1"/>
    </xf>
    <xf numFmtId="0" fontId="0" fillId="11" borderId="0" xfId="0" applyFill="1"/>
    <xf numFmtId="0" fontId="0" fillId="0" borderId="5" xfId="0" applyBorder="1" applyAlignment="1">
      <alignment horizontal="center"/>
    </xf>
    <xf numFmtId="44" fontId="0" fillId="0" borderId="5" xfId="1" applyFont="1" applyBorder="1"/>
    <xf numFmtId="4" fontId="0" fillId="0" borderId="5" xfId="0" applyNumberFormat="1" applyBorder="1"/>
    <xf numFmtId="0" fontId="0" fillId="0" borderId="30" xfId="0" applyBorder="1"/>
    <xf numFmtId="0" fontId="0" fillId="0" borderId="40" xfId="0" applyBorder="1" applyAlignment="1">
      <alignment horizontal="center" vertical="center"/>
    </xf>
    <xf numFmtId="44" fontId="0" fillId="0" borderId="40" xfId="0" applyNumberFormat="1" applyBorder="1"/>
    <xf numFmtId="164" fontId="0" fillId="0" borderId="36" xfId="0" applyNumberFormat="1" applyBorder="1"/>
    <xf numFmtId="10" fontId="0" fillId="0" borderId="5" xfId="0" applyNumberFormat="1" applyBorder="1" applyAlignment="1">
      <alignment horizontal="center"/>
    </xf>
    <xf numFmtId="8" fontId="0" fillId="0" borderId="5" xfId="0" applyNumberFormat="1" applyBorder="1" applyAlignment="1">
      <alignment horizontal="center"/>
    </xf>
    <xf numFmtId="10" fontId="0" fillId="0" borderId="5" xfId="2" applyNumberFormat="1" applyFont="1" applyBorder="1"/>
    <xf numFmtId="10" fontId="0" fillId="0" borderId="5" xfId="0" applyNumberFormat="1" applyBorder="1"/>
    <xf numFmtId="164" fontId="0" fillId="0" borderId="5" xfId="0" applyNumberFormat="1" applyBorder="1"/>
    <xf numFmtId="17" fontId="0" fillId="0" borderId="5" xfId="0" applyNumberFormat="1" applyBorder="1" applyAlignment="1">
      <alignment horizontal="center"/>
    </xf>
    <xf numFmtId="44" fontId="20" fillId="0" borderId="41" xfId="1" applyFont="1" applyFill="1" applyBorder="1"/>
    <xf numFmtId="0" fontId="0" fillId="0" borderId="34" xfId="0" applyBorder="1"/>
    <xf numFmtId="44" fontId="0" fillId="0" borderId="34" xfId="0" applyNumberFormat="1" applyBorder="1"/>
    <xf numFmtId="44" fontId="0" fillId="3" borderId="34" xfId="0" applyNumberFormat="1" applyFill="1" applyBorder="1"/>
    <xf numFmtId="0" fontId="0" fillId="3" borderId="34" xfId="0" applyFill="1" applyBorder="1"/>
    <xf numFmtId="44" fontId="0" fillId="0" borderId="42" xfId="0" applyNumberFormat="1" applyBorder="1"/>
    <xf numFmtId="10" fontId="0" fillId="3" borderId="5" xfId="0" applyNumberFormat="1" applyFill="1" applyBorder="1"/>
    <xf numFmtId="0" fontId="0" fillId="3" borderId="5" xfId="0" applyFill="1" applyBorder="1" applyAlignment="1">
      <alignment horizontal="center"/>
    </xf>
    <xf numFmtId="10" fontId="0" fillId="3" borderId="5" xfId="2" applyNumberFormat="1" applyFont="1" applyFill="1" applyBorder="1"/>
    <xf numFmtId="164" fontId="0" fillId="3" borderId="5" xfId="0" applyNumberFormat="1" applyFill="1" applyBorder="1"/>
    <xf numFmtId="44" fontId="22" fillId="0" borderId="13" xfId="1" applyFont="1" applyFill="1" applyBorder="1"/>
    <xf numFmtId="44" fontId="22" fillId="0" borderId="12" xfId="1" applyFont="1" applyFill="1" applyBorder="1"/>
    <xf numFmtId="44" fontId="22" fillId="0" borderId="5" xfId="1" applyFont="1" applyFill="1" applyBorder="1"/>
    <xf numFmtId="44" fontId="22" fillId="3" borderId="5" xfId="1" applyFont="1" applyFill="1" applyBorder="1"/>
    <xf numFmtId="0" fontId="31" fillId="14" borderId="5" xfId="0" applyFont="1" applyFill="1" applyBorder="1" applyAlignment="1">
      <alignment horizontal="left" vertical="center" wrapText="1"/>
    </xf>
    <xf numFmtId="10" fontId="31" fillId="14" borderId="5" xfId="0" applyNumberFormat="1" applyFont="1" applyFill="1" applyBorder="1" applyAlignment="1">
      <alignment horizontal="left" vertical="center" wrapText="1"/>
    </xf>
    <xf numFmtId="8" fontId="31" fillId="14" borderId="18" xfId="0" applyNumberFormat="1" applyFont="1" applyFill="1" applyBorder="1" applyAlignment="1">
      <alignment horizontal="left" vertical="center" wrapText="1"/>
    </xf>
    <xf numFmtId="10" fontId="37" fillId="14" borderId="5" xfId="0" applyNumberFormat="1" applyFont="1" applyFill="1" applyBorder="1" applyAlignment="1">
      <alignment horizontal="center" vertical="center" wrapText="1"/>
    </xf>
    <xf numFmtId="0" fontId="37" fillId="14" borderId="5" xfId="0" applyFont="1" applyFill="1" applyBorder="1" applyAlignment="1">
      <alignment horizontal="center" vertical="center" wrapText="1"/>
    </xf>
    <xf numFmtId="0" fontId="45" fillId="0" borderId="9" xfId="0" applyFont="1" applyBorder="1" applyAlignment="1">
      <alignment horizontal="center"/>
    </xf>
    <xf numFmtId="0" fontId="45" fillId="0" borderId="14" xfId="0" applyFont="1" applyBorder="1" applyAlignment="1">
      <alignment horizontal="center"/>
    </xf>
    <xf numFmtId="44" fontId="46" fillId="0" borderId="10" xfId="1" applyFont="1" applyFill="1" applyBorder="1"/>
    <xf numFmtId="44" fontId="46" fillId="0" borderId="13" xfId="1" applyFont="1" applyFill="1" applyBorder="1"/>
    <xf numFmtId="10" fontId="0" fillId="0" borderId="43" xfId="0" applyNumberFormat="1" applyBorder="1" applyAlignment="1">
      <alignment horizontal="center"/>
    </xf>
    <xf numFmtId="0" fontId="0" fillId="0" borderId="43" xfId="0" applyBorder="1"/>
    <xf numFmtId="0" fontId="45" fillId="0" borderId="2" xfId="0" applyFont="1" applyBorder="1" applyAlignment="1">
      <alignment horizontal="center"/>
    </xf>
    <xf numFmtId="17" fontId="46" fillId="0" borderId="44" xfId="0" applyNumberFormat="1" applyFont="1" applyBorder="1" applyAlignment="1">
      <alignment horizontal="center"/>
    </xf>
    <xf numFmtId="0" fontId="0" fillId="0" borderId="43" xfId="0" applyBorder="1" applyAlignment="1">
      <alignment horizontal="center"/>
    </xf>
    <xf numFmtId="17" fontId="20" fillId="0" borderId="43" xfId="0" applyNumberFormat="1" applyFont="1" applyBorder="1" applyAlignment="1">
      <alignment horizontal="center"/>
    </xf>
    <xf numFmtId="17" fontId="20" fillId="3" borderId="43" xfId="0" applyNumberFormat="1" applyFont="1" applyFill="1" applyBorder="1" applyAlignment="1">
      <alignment horizontal="center"/>
    </xf>
    <xf numFmtId="0" fontId="0" fillId="3" borderId="43" xfId="0" applyFill="1" applyBorder="1" applyAlignment="1">
      <alignment horizontal="center"/>
    </xf>
    <xf numFmtId="0" fontId="0" fillId="3" borderId="43" xfId="0" applyFill="1" applyBorder="1"/>
    <xf numFmtId="17" fontId="20" fillId="13" borderId="45" xfId="0" applyNumberFormat="1" applyFont="1" applyFill="1" applyBorder="1" applyAlignment="1">
      <alignment horizontal="center"/>
    </xf>
    <xf numFmtId="0" fontId="0" fillId="13" borderId="18" xfId="0" applyFill="1" applyBorder="1" applyAlignment="1">
      <alignment horizontal="center"/>
    </xf>
    <xf numFmtId="0" fontId="0" fillId="13" borderId="18" xfId="0" applyFill="1" applyBorder="1"/>
    <xf numFmtId="0" fontId="0" fillId="13" borderId="18" xfId="0" applyFill="1" applyBorder="1" applyAlignment="1">
      <alignment horizontal="center" vertical="center"/>
    </xf>
    <xf numFmtId="0" fontId="45" fillId="0" borderId="46" xfId="0" applyFont="1" applyBorder="1" applyAlignment="1">
      <alignment horizontal="center"/>
    </xf>
    <xf numFmtId="0" fontId="0" fillId="13" borderId="9" xfId="0" applyFill="1" applyBorder="1"/>
    <xf numFmtId="0" fontId="0" fillId="0" borderId="9" xfId="0" applyBorder="1"/>
    <xf numFmtId="0" fontId="45" fillId="0" borderId="6" xfId="0" applyFont="1" applyBorder="1" applyAlignment="1">
      <alignment horizontal="center"/>
    </xf>
    <xf numFmtId="44" fontId="46" fillId="0" borderId="44" xfId="1" applyFont="1" applyFill="1" applyBorder="1"/>
    <xf numFmtId="44" fontId="20" fillId="0" borderId="43" xfId="1" applyFont="1" applyFill="1" applyBorder="1"/>
    <xf numFmtId="44" fontId="20" fillId="3" borderId="43" xfId="1" applyFont="1" applyFill="1" applyBorder="1"/>
    <xf numFmtId="10" fontId="0" fillId="3" borderId="43" xfId="0" applyNumberFormat="1" applyFill="1" applyBorder="1" applyAlignment="1">
      <alignment horizontal="center"/>
    </xf>
    <xf numFmtId="44" fontId="20" fillId="13" borderId="45" xfId="1" applyFont="1" applyFill="1" applyBorder="1"/>
    <xf numFmtId="0" fontId="0" fillId="13" borderId="44" xfId="0" applyFill="1" applyBorder="1" applyAlignment="1">
      <alignment horizontal="center"/>
    </xf>
    <xf numFmtId="10" fontId="0" fillId="13" borderId="43" xfId="0" applyNumberFormat="1" applyFill="1" applyBorder="1" applyAlignment="1">
      <alignment horizontal="center"/>
    </xf>
    <xf numFmtId="0" fontId="0" fillId="13" borderId="43" xfId="0" applyFill="1" applyBorder="1"/>
    <xf numFmtId="0" fontId="0" fillId="13" borderId="47" xfId="0" applyFill="1" applyBorder="1"/>
    <xf numFmtId="44" fontId="0" fillId="13" borderId="43" xfId="0" applyNumberFormat="1" applyFill="1" applyBorder="1"/>
    <xf numFmtId="0" fontId="0" fillId="0" borderId="6" xfId="0" applyBorder="1"/>
    <xf numFmtId="44" fontId="47" fillId="0" borderId="15" xfId="0" applyNumberFormat="1" applyFont="1" applyBorder="1"/>
    <xf numFmtId="44" fontId="0" fillId="13" borderId="35" xfId="0" applyNumberFormat="1" applyFill="1" applyBorder="1"/>
    <xf numFmtId="44" fontId="0" fillId="13" borderId="23" xfId="0" applyNumberFormat="1" applyFill="1" applyBorder="1"/>
    <xf numFmtId="0" fontId="0" fillId="0" borderId="9" xfId="0" applyBorder="1" applyAlignment="1">
      <alignment horizontal="center"/>
    </xf>
    <xf numFmtId="8" fontId="0" fillId="0" borderId="11" xfId="0" applyNumberFormat="1" applyBorder="1" applyAlignment="1">
      <alignment horizontal="center"/>
    </xf>
    <xf numFmtId="8" fontId="0" fillId="0" borderId="9" xfId="0" applyNumberFormat="1" applyBorder="1" applyAlignment="1">
      <alignment horizontal="center"/>
    </xf>
    <xf numFmtId="44" fontId="20" fillId="3" borderId="10" xfId="1" applyFont="1" applyFill="1" applyBorder="1"/>
    <xf numFmtId="0" fontId="0" fillId="3" borderId="9" xfId="0" applyFill="1" applyBorder="1" applyAlignment="1">
      <alignment horizontal="center"/>
    </xf>
    <xf numFmtId="8" fontId="0" fillId="3" borderId="9" xfId="0" applyNumberFormat="1" applyFill="1" applyBorder="1" applyAlignment="1">
      <alignment horizontal="center"/>
    </xf>
    <xf numFmtId="0" fontId="0" fillId="3" borderId="9" xfId="0" applyFill="1" applyBorder="1"/>
    <xf numFmtId="44" fontId="20" fillId="13" borderId="10" xfId="1" applyFont="1" applyFill="1" applyBorder="1"/>
    <xf numFmtId="0" fontId="0" fillId="13" borderId="9" xfId="0" applyFill="1" applyBorder="1" applyAlignment="1">
      <alignment horizontal="center"/>
    </xf>
    <xf numFmtId="8" fontId="0" fillId="13" borderId="9" xfId="0" applyNumberFormat="1" applyFill="1" applyBorder="1" applyAlignment="1">
      <alignment horizontal="center"/>
    </xf>
    <xf numFmtId="0" fontId="0" fillId="13" borderId="8" xfId="0" applyFill="1" applyBorder="1"/>
    <xf numFmtId="10" fontId="0" fillId="0" borderId="11" xfId="2" applyNumberFormat="1" applyFont="1" applyBorder="1"/>
    <xf numFmtId="10" fontId="0" fillId="3" borderId="11" xfId="0" applyNumberFormat="1" applyFill="1" applyBorder="1"/>
    <xf numFmtId="164" fontId="0" fillId="0" borderId="11" xfId="0" applyNumberFormat="1" applyBorder="1"/>
    <xf numFmtId="10" fontId="0" fillId="0" borderId="9" xfId="2" applyNumberFormat="1" applyFont="1" applyBorder="1"/>
    <xf numFmtId="10" fontId="0" fillId="0" borderId="9" xfId="0" applyNumberFormat="1" applyBorder="1"/>
    <xf numFmtId="164" fontId="0" fillId="0" borderId="9" xfId="0" applyNumberFormat="1" applyBorder="1"/>
    <xf numFmtId="10" fontId="0" fillId="3" borderId="9" xfId="2" applyNumberFormat="1" applyFont="1" applyFill="1" applyBorder="1"/>
    <xf numFmtId="10" fontId="0" fillId="3" borderId="9" xfId="0" applyNumberFormat="1" applyFill="1" applyBorder="1"/>
    <xf numFmtId="164" fontId="0" fillId="3" borderId="9" xfId="0" applyNumberFormat="1" applyFill="1" applyBorder="1"/>
    <xf numFmtId="10" fontId="0" fillId="13" borderId="9" xfId="2" applyNumberFormat="1" applyFont="1" applyFill="1" applyBorder="1"/>
    <xf numFmtId="10" fontId="0" fillId="13" borderId="9" xfId="0" applyNumberFormat="1" applyFill="1" applyBorder="1"/>
    <xf numFmtId="164" fontId="0" fillId="13" borderId="8" xfId="0" applyNumberFormat="1" applyFill="1" applyBorder="1"/>
    <xf numFmtId="10" fontId="0" fillId="0" borderId="11" xfId="0" applyNumberFormat="1" applyBorder="1"/>
    <xf numFmtId="0" fontId="45" fillId="0" borderId="7" xfId="0" applyFont="1" applyBorder="1" applyAlignment="1">
      <alignment horizontal="center"/>
    </xf>
    <xf numFmtId="44" fontId="20" fillId="0" borderId="16" xfId="1" applyFont="1" applyFill="1" applyBorder="1"/>
    <xf numFmtId="0" fontId="0" fillId="3" borderId="5" xfId="0" applyFill="1" applyBorder="1"/>
    <xf numFmtId="0" fontId="32" fillId="0" borderId="0" xfId="3" applyAlignment="1">
      <alignment horizontal="center" vertical="center" wrapText="1"/>
    </xf>
    <xf numFmtId="0" fontId="35" fillId="0" borderId="0" xfId="3" applyFont="1" applyAlignment="1">
      <alignment horizontal="center" vertical="center" wrapText="1"/>
    </xf>
    <xf numFmtId="0" fontId="32" fillId="0" borderId="0" xfId="3" applyAlignment="1">
      <alignment horizontal="center"/>
    </xf>
    <xf numFmtId="0" fontId="4" fillId="11" borderId="5" xfId="0" applyFont="1" applyFill="1" applyBorder="1" applyAlignment="1">
      <alignment horizontal="center" vertical="center"/>
    </xf>
    <xf numFmtId="0" fontId="18" fillId="0" borderId="4" xfId="0" applyFont="1" applyBorder="1" applyAlignment="1">
      <alignment horizontal="center"/>
    </xf>
    <xf numFmtId="0" fontId="18" fillId="0" borderId="25" xfId="0" applyFont="1" applyBorder="1" applyAlignment="1">
      <alignment horizontal="center"/>
    </xf>
    <xf numFmtId="0" fontId="18" fillId="0" borderId="26" xfId="0" applyFont="1" applyBorder="1" applyAlignment="1">
      <alignment horizontal="center"/>
    </xf>
    <xf numFmtId="0" fontId="4" fillId="11" borderId="4" xfId="0" applyFont="1" applyFill="1" applyBorder="1" applyAlignment="1">
      <alignment horizontal="center" vertical="center"/>
    </xf>
    <xf numFmtId="0" fontId="4" fillId="11" borderId="25" xfId="0" applyFont="1" applyFill="1" applyBorder="1" applyAlignment="1">
      <alignment horizontal="center" vertical="center"/>
    </xf>
    <xf numFmtId="0" fontId="4" fillId="11" borderId="32" xfId="0" applyFont="1" applyFill="1" applyBorder="1" applyAlignment="1">
      <alignment horizontal="center" vertical="center"/>
    </xf>
    <xf numFmtId="0" fontId="4" fillId="11" borderId="38" xfId="0" applyFont="1" applyFill="1" applyBorder="1" applyAlignment="1">
      <alignment horizontal="center" vertical="center"/>
    </xf>
    <xf numFmtId="0" fontId="45" fillId="0" borderId="48" xfId="0" applyFont="1" applyBorder="1" applyAlignment="1">
      <alignment horizontal="center"/>
    </xf>
    <xf numFmtId="0" fontId="45" fillId="0" borderId="49" xfId="0" applyFont="1" applyBorder="1" applyAlignment="1">
      <alignment horizontal="center"/>
    </xf>
    <xf numFmtId="0" fontId="45" fillId="0" borderId="14" xfId="0" applyFont="1" applyBorder="1" applyAlignment="1">
      <alignment horizontal="center"/>
    </xf>
    <xf numFmtId="0" fontId="45" fillId="0" borderId="37" xfId="0" applyFont="1" applyBorder="1" applyAlignment="1">
      <alignment horizontal="center"/>
    </xf>
    <xf numFmtId="44" fontId="0" fillId="0" borderId="5" xfId="0" applyNumberFormat="1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50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4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36" xfId="0" applyFont="1" applyBorder="1" applyAlignment="1">
      <alignment horizontal="center"/>
    </xf>
    <xf numFmtId="0" fontId="4" fillId="0" borderId="37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10" fillId="3" borderId="18" xfId="0" applyFont="1" applyFill="1" applyBorder="1" applyAlignment="1">
      <alignment horizontal="left" vertical="center"/>
    </xf>
    <xf numFmtId="0" fontId="10" fillId="3" borderId="17" xfId="0" applyFont="1" applyFill="1" applyBorder="1" applyAlignment="1">
      <alignment horizontal="left" vertical="center"/>
    </xf>
    <xf numFmtId="0" fontId="10" fillId="3" borderId="23" xfId="0" applyFont="1" applyFill="1" applyBorder="1" applyAlignment="1">
      <alignment horizontal="left" vertical="center"/>
    </xf>
    <xf numFmtId="0" fontId="20" fillId="3" borderId="18" xfId="0" applyFont="1" applyFill="1" applyBorder="1" applyAlignment="1">
      <alignment horizontal="left" vertical="center"/>
    </xf>
    <xf numFmtId="0" fontId="20" fillId="3" borderId="17" xfId="0" applyFont="1" applyFill="1" applyBorder="1" applyAlignment="1">
      <alignment horizontal="left" vertical="center"/>
    </xf>
    <xf numFmtId="0" fontId="20" fillId="3" borderId="23" xfId="0" applyFont="1" applyFill="1" applyBorder="1" applyAlignment="1">
      <alignment horizontal="left" vertical="center"/>
    </xf>
    <xf numFmtId="0" fontId="4" fillId="3" borderId="19" xfId="0" applyFont="1" applyFill="1" applyBorder="1" applyAlignment="1">
      <alignment horizontal="center"/>
    </xf>
    <xf numFmtId="0" fontId="4" fillId="3" borderId="20" xfId="0" applyFont="1" applyFill="1" applyBorder="1" applyAlignment="1">
      <alignment horizontal="center"/>
    </xf>
    <xf numFmtId="0" fontId="4" fillId="3" borderId="29" xfId="0" applyFont="1" applyFill="1" applyBorder="1" applyAlignment="1">
      <alignment horizontal="center"/>
    </xf>
    <xf numFmtId="0" fontId="4" fillId="3" borderId="2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4" fillId="3" borderId="28" xfId="0" applyFont="1" applyFill="1" applyBorder="1" applyAlignment="1">
      <alignment horizontal="center"/>
    </xf>
    <xf numFmtId="0" fontId="4" fillId="3" borderId="27" xfId="0" applyFont="1" applyFill="1" applyBorder="1" applyAlignment="1">
      <alignment horizontal="center"/>
    </xf>
    <xf numFmtId="0" fontId="4" fillId="3" borderId="16" xfId="0" applyFont="1" applyFill="1" applyBorder="1" applyAlignment="1">
      <alignment horizontal="center"/>
    </xf>
    <xf numFmtId="0" fontId="4" fillId="3" borderId="30" xfId="0" applyFont="1" applyFill="1" applyBorder="1" applyAlignment="1">
      <alignment horizontal="center"/>
    </xf>
    <xf numFmtId="0" fontId="4" fillId="3" borderId="18" xfId="0" applyFont="1" applyFill="1" applyBorder="1" applyAlignment="1">
      <alignment horizontal="center"/>
    </xf>
    <xf numFmtId="0" fontId="4" fillId="3" borderId="17" xfId="0" applyFont="1" applyFill="1" applyBorder="1" applyAlignment="1">
      <alignment horizontal="center"/>
    </xf>
    <xf numFmtId="0" fontId="4" fillId="3" borderId="23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23" fillId="5" borderId="5" xfId="0" applyFont="1" applyFill="1" applyBorder="1" applyAlignment="1">
      <alignment horizontal="center"/>
    </xf>
    <xf numFmtId="0" fontId="23" fillId="3" borderId="18" xfId="0" applyFont="1" applyFill="1" applyBorder="1" applyAlignment="1">
      <alignment horizontal="center"/>
    </xf>
    <xf numFmtId="0" fontId="23" fillId="3" borderId="17" xfId="0" applyFont="1" applyFill="1" applyBorder="1" applyAlignment="1">
      <alignment horizontal="center"/>
    </xf>
    <xf numFmtId="0" fontId="23" fillId="3" borderId="23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165" fontId="8" fillId="3" borderId="5" xfId="0" applyNumberFormat="1" applyFont="1" applyFill="1" applyBorder="1" applyAlignment="1">
      <alignment horizontal="center" vertical="center"/>
    </xf>
    <xf numFmtId="165" fontId="18" fillId="3" borderId="5" xfId="0" applyNumberFormat="1" applyFont="1" applyFill="1" applyBorder="1" applyAlignment="1">
      <alignment horizontal="center" vertical="center"/>
    </xf>
    <xf numFmtId="10" fontId="22" fillId="3" borderId="5" xfId="2" applyNumberFormat="1" applyFont="1" applyFill="1" applyBorder="1" applyAlignment="1">
      <alignment horizontal="center" vertical="center"/>
    </xf>
    <xf numFmtId="10" fontId="11" fillId="3" borderId="5" xfId="2" applyNumberFormat="1" applyFont="1" applyFill="1" applyBorder="1" applyAlignment="1">
      <alignment horizontal="center" vertical="center"/>
    </xf>
    <xf numFmtId="0" fontId="23" fillId="2" borderId="5" xfId="0" applyFont="1" applyFill="1" applyBorder="1" applyAlignment="1">
      <alignment horizontal="center"/>
    </xf>
    <xf numFmtId="0" fontId="6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/>
    </xf>
    <xf numFmtId="0" fontId="5" fillId="0" borderId="5" xfId="0" applyFont="1" applyBorder="1" applyAlignment="1">
      <alignment horizontal="center" vertical="center"/>
    </xf>
    <xf numFmtId="0" fontId="4" fillId="2" borderId="18" xfId="0" applyFont="1" applyFill="1" applyBorder="1" applyAlignment="1">
      <alignment horizontal="center"/>
    </xf>
    <xf numFmtId="0" fontId="12" fillId="3" borderId="5" xfId="0" applyFont="1" applyFill="1" applyBorder="1" applyAlignment="1">
      <alignment horizontal="center" vertical="center"/>
    </xf>
    <xf numFmtId="0" fontId="12" fillId="3" borderId="5" xfId="0" applyFont="1" applyFill="1" applyBorder="1" applyAlignment="1">
      <alignment horizontal="left" vertical="center"/>
    </xf>
    <xf numFmtId="0" fontId="4" fillId="2" borderId="9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18" fillId="0" borderId="5" xfId="0" applyFont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/>
    </xf>
    <xf numFmtId="0" fontId="19" fillId="2" borderId="5" xfId="0" applyFont="1" applyFill="1" applyBorder="1" applyAlignment="1">
      <alignment horizontal="center"/>
    </xf>
    <xf numFmtId="0" fontId="18" fillId="0" borderId="5" xfId="0" applyFont="1" applyBorder="1" applyAlignment="1">
      <alignment horizontal="center"/>
    </xf>
    <xf numFmtId="0" fontId="18" fillId="0" borderId="5" xfId="0" applyFont="1" applyBorder="1" applyAlignment="1">
      <alignment horizontal="center" vertical="center"/>
    </xf>
  </cellXfs>
  <cellStyles count="4">
    <cellStyle name="Hiperlink" xfId="3" builtinId="8"/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E3F9FD"/>
      <color rgb="FFCCFFCC"/>
      <color rgb="FFCCFFFF"/>
      <color rgb="FF99FFCC"/>
      <color rgb="FF00FFFF"/>
      <color rgb="FFE7E6E6"/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PLANEJAMENTO!$A$41:$A$49</c15:sqref>
                  </c15:fullRef>
                </c:ext>
              </c:extLst>
              <c:f>(PLANEJAMENTO!$A$41,PLANEJAMENTO!$A$43,PLANEJAMENTO!$A$45,PLANEJAMENTO!$A$47:$A$49)</c:f>
              <c:strCache>
                <c:ptCount val="4"/>
                <c:pt idx="0">
                  <c:v>Total de tributos faturamento R$ 600.000,00 anual</c:v>
                </c:pt>
                <c:pt idx="1">
                  <c:v>Total de tributos faturamento R$ 700.000,00 anual</c:v>
                </c:pt>
                <c:pt idx="2">
                  <c:v>Total de tributos faturamento R$ 800.000,00 anual</c:v>
                </c:pt>
                <c:pt idx="3">
                  <c:v>Total de tributos faturamento R$ 900.000,00 anual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PLANEJAMENTO!$B$41:$B$49</c15:sqref>
                  </c15:fullRef>
                </c:ext>
              </c:extLst>
              <c:f>(PLANEJAMENTO!$B$41,PLANEJAMENTO!$B$43,PLANEJAMENTO!$B$45,PLANEJAMENTO!$B$47:$B$49)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6-8167-48C5-9F72-08378D483B7E}"/>
            </c:ext>
          </c:extLst>
        </c:ser>
        <c:ser>
          <c:idx val="1"/>
          <c:order val="1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PLANEJAMENTO!$A$41:$A$49</c15:sqref>
                  </c15:fullRef>
                </c:ext>
              </c:extLst>
              <c:f>(PLANEJAMENTO!$A$41,PLANEJAMENTO!$A$43,PLANEJAMENTO!$A$45,PLANEJAMENTO!$A$47:$A$49)</c:f>
              <c:strCache>
                <c:ptCount val="4"/>
                <c:pt idx="0">
                  <c:v>Total de tributos faturamento R$ 600.000,00 anual</c:v>
                </c:pt>
                <c:pt idx="1">
                  <c:v>Total de tributos faturamento R$ 700.000,00 anual</c:v>
                </c:pt>
                <c:pt idx="2">
                  <c:v>Total de tributos faturamento R$ 800.000,00 anual</c:v>
                </c:pt>
                <c:pt idx="3">
                  <c:v>Total de tributos faturamento R$ 900.000,00 anual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PLANEJAMENTO!$C$41:$C$49</c15:sqref>
                  </c15:fullRef>
                </c:ext>
              </c:extLst>
              <c:f>(PLANEJAMENTO!$C$41,PLANEJAMENTO!$C$43,PLANEJAMENTO!$C$45,PLANEJAMENTO!$C$47:$C$49)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4-811B-47D8-BA33-252D2ACA718C}"/>
            </c:ext>
          </c:extLst>
        </c:ser>
        <c:ser>
          <c:idx val="2"/>
          <c:order val="2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F1A-482B-9B57-26C31ED5A45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F1A-482B-9B57-26C31ED5A45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PLANEJAMENTO!$A$41:$A$49</c15:sqref>
                  </c15:fullRef>
                </c:ext>
              </c:extLst>
              <c:f>(PLANEJAMENTO!$A$41,PLANEJAMENTO!$A$43,PLANEJAMENTO!$A$45,PLANEJAMENTO!$A$47:$A$49)</c:f>
              <c:strCache>
                <c:ptCount val="4"/>
                <c:pt idx="0">
                  <c:v>Total de tributos faturamento R$ 600.000,00 anual</c:v>
                </c:pt>
                <c:pt idx="1">
                  <c:v>Total de tributos faturamento R$ 700.000,00 anual</c:v>
                </c:pt>
                <c:pt idx="2">
                  <c:v>Total de tributos faturamento R$ 800.000,00 anual</c:v>
                </c:pt>
                <c:pt idx="3">
                  <c:v>Total de tributos faturamento R$ 900.000,00 anual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PLANEJAMENTO!$D$41:$D$49</c15:sqref>
                  </c15:fullRef>
                </c:ext>
              </c:extLst>
              <c:f>(PLANEJAMENTO!$D$41,PLANEJAMENTO!$D$43,PLANEJAMENTO!$D$45,PLANEJAMENTO!$D$47:$D$49)</c:f>
              <c:numCache>
                <c:formatCode>General</c:formatCode>
                <c:ptCount val="4"/>
                <c:pt idx="0" formatCode="&quot;R$&quot;\ #,##0.00">
                  <c:v>0</c:v>
                </c:pt>
                <c:pt idx="1" formatCode="&quot;R$&quot;\ #,##0.00">
                  <c:v>0</c:v>
                </c:pt>
                <c:pt idx="2" formatCode="&quot;R$&quot;\ #,##0.00">
                  <c:v>0</c:v>
                </c:pt>
                <c:pt idx="3" formatCode="&quot;R$&quot;\ #,##0.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11B-47D8-BA33-252D2ACA718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99"/>
        <c:axId val="416707136"/>
        <c:axId val="416693416"/>
      </c:barChart>
      <c:catAx>
        <c:axId val="4167071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16693416"/>
        <c:crosses val="autoZero"/>
        <c:auto val="1"/>
        <c:lblAlgn val="ctr"/>
        <c:lblOffset val="100"/>
        <c:noMultiLvlLbl val="0"/>
      </c:catAx>
      <c:valAx>
        <c:axId val="416693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16707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102051</xdr:colOff>
      <xdr:row>0</xdr:row>
      <xdr:rowOff>44903</xdr:rowOff>
    </xdr:from>
    <xdr:to>
      <xdr:col>5</xdr:col>
      <xdr:colOff>466725</xdr:colOff>
      <xdr:row>3</xdr:row>
      <xdr:rowOff>63953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A265B06-BBED-4BDB-BDC1-A308A86AED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93076" y="44903"/>
          <a:ext cx="2507799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587829</xdr:colOff>
      <xdr:row>53</xdr:row>
      <xdr:rowOff>167912</xdr:rowOff>
    </xdr:from>
    <xdr:to>
      <xdr:col>11</xdr:col>
      <xdr:colOff>250372</xdr:colOff>
      <xdr:row>70</xdr:row>
      <xdr:rowOff>152400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06C5DA9-6278-4277-A2C5-71D007DDB7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989236</xdr:colOff>
      <xdr:row>0</xdr:row>
      <xdr:rowOff>100693</xdr:rowOff>
    </xdr:from>
    <xdr:to>
      <xdr:col>6</xdr:col>
      <xdr:colOff>951801</xdr:colOff>
      <xdr:row>3</xdr:row>
      <xdr:rowOff>96883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B0DBB65A-B8AE-453D-B756-CC126C0777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14922" y="100693"/>
          <a:ext cx="2224616" cy="5840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54428</xdr:colOff>
      <xdr:row>30</xdr:row>
      <xdr:rowOff>94645</xdr:rowOff>
    </xdr:from>
    <xdr:to>
      <xdr:col>7</xdr:col>
      <xdr:colOff>88021</xdr:colOff>
      <xdr:row>33</xdr:row>
      <xdr:rowOff>98453</xdr:rowOff>
    </xdr:to>
    <xdr:pic>
      <xdr:nvPicPr>
        <xdr:cNvPr id="6" name="Imagem 4">
          <a:extLst>
            <a:ext uri="{FF2B5EF4-FFF2-40B4-BE49-F238E27FC236}">
              <a16:creationId xmlns:a16="http://schemas.microsoft.com/office/drawing/2014/main" id="{1F47198C-05B4-4AA3-9CE3-79C069924B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81599" y="16913074"/>
          <a:ext cx="2205566" cy="5840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ontabilizei.com.br/contabilidade-online/irpj-imposto-de-renda-pessoa-juridica/" TargetMode="External"/><Relationship Id="rId3" Type="http://schemas.openxmlformats.org/officeDocument/2006/relationships/hyperlink" Target="https://www.contabilizei.com.br/contabilidade-online/anexo-3-simples-nacional/" TargetMode="External"/><Relationship Id="rId7" Type="http://schemas.openxmlformats.org/officeDocument/2006/relationships/hyperlink" Target="https://www.contabilizei.com.br/contabilidade-online/irpj-imposto-de-renda-pessoa-juridica/" TargetMode="External"/><Relationship Id="rId2" Type="http://schemas.openxmlformats.org/officeDocument/2006/relationships/hyperlink" Target="https://www.contabilizei.com.br/contabilidade-online/anexo-2-simples-nacional/" TargetMode="External"/><Relationship Id="rId1" Type="http://schemas.openxmlformats.org/officeDocument/2006/relationships/hyperlink" Target="https://www.contabilizei.com.br/contabilidade-online/anexo-1-simples-nacional/" TargetMode="External"/><Relationship Id="rId6" Type="http://schemas.openxmlformats.org/officeDocument/2006/relationships/hyperlink" Target="https://www.contabilizei.com.br/contabilidade-online/irpj-imposto-de-renda-pessoa-juridica/" TargetMode="External"/><Relationship Id="rId5" Type="http://schemas.openxmlformats.org/officeDocument/2006/relationships/hyperlink" Target="https://www.contabilizei.com.br/contabilidade-online/anexo-5-simples-nacional/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www.contabilizei.com.br/contabilidade-online/anexo-4-simples-nacional/" TargetMode="External"/><Relationship Id="rId9" Type="http://schemas.openxmlformats.org/officeDocument/2006/relationships/hyperlink" Target="https://www.contabilizei.com.br/contabilidade-online/irpj-imposto-de-renda-pessoa-juridica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8551B-AE38-4795-8FE7-8B59A1DFFA0B}">
  <dimension ref="A2:J47"/>
  <sheetViews>
    <sheetView topLeftCell="A17" zoomScaleNormal="100" workbookViewId="0">
      <selection activeCell="B25" sqref="B25:C26"/>
    </sheetView>
  </sheetViews>
  <sheetFormatPr defaultRowHeight="15" x14ac:dyDescent="0.25"/>
  <cols>
    <col min="1" max="1" width="41.28515625" customWidth="1"/>
    <col min="2" max="2" width="12" customWidth="1"/>
    <col min="3" max="3" width="32.28515625" customWidth="1"/>
    <col min="4" max="4" width="12.28515625" customWidth="1"/>
    <col min="10" max="10" width="10.140625" customWidth="1"/>
  </cols>
  <sheetData>
    <row r="2" spans="1:10" x14ac:dyDescent="0.25">
      <c r="A2" s="269" t="s">
        <v>37</v>
      </c>
      <c r="B2" s="269"/>
      <c r="C2" s="269"/>
    </row>
    <row r="3" spans="1:10" ht="25.15" customHeight="1" x14ac:dyDescent="0.25">
      <c r="A3" s="26" t="s">
        <v>28</v>
      </c>
      <c r="B3" s="26" t="s">
        <v>29</v>
      </c>
      <c r="C3" s="26" t="s">
        <v>30</v>
      </c>
      <c r="D3" s="47" t="s">
        <v>56</v>
      </c>
      <c r="E3" s="47" t="s">
        <v>54</v>
      </c>
      <c r="F3" s="41" t="s">
        <v>10</v>
      </c>
      <c r="G3" s="47" t="s">
        <v>11</v>
      </c>
      <c r="H3" s="47" t="s">
        <v>52</v>
      </c>
      <c r="I3" s="47" t="s">
        <v>12</v>
      </c>
      <c r="J3" s="47" t="s">
        <v>55</v>
      </c>
    </row>
    <row r="4" spans="1:10" ht="25.15" customHeight="1" x14ac:dyDescent="0.25">
      <c r="A4" s="27" t="s">
        <v>31</v>
      </c>
      <c r="B4" s="28">
        <v>0.04</v>
      </c>
      <c r="C4" s="43">
        <v>0</v>
      </c>
      <c r="D4" s="45">
        <v>2.76E-2</v>
      </c>
      <c r="E4" s="45">
        <v>0.12740000000000001</v>
      </c>
      <c r="F4" s="45">
        <v>5.5E-2</v>
      </c>
      <c r="G4" s="45">
        <v>3.5000000000000003E-2</v>
      </c>
      <c r="H4" s="45">
        <v>0.41499999999999998</v>
      </c>
      <c r="I4" s="45">
        <v>0.34</v>
      </c>
      <c r="J4" s="46" t="s">
        <v>57</v>
      </c>
    </row>
    <row r="5" spans="1:10" ht="25.15" customHeight="1" x14ac:dyDescent="0.25">
      <c r="A5" s="27" t="s">
        <v>32</v>
      </c>
      <c r="B5" s="29">
        <v>7.2999999999999995E-2</v>
      </c>
      <c r="C5" s="44">
        <v>5940</v>
      </c>
      <c r="D5" s="45">
        <v>2.76E-2</v>
      </c>
      <c r="E5" s="45">
        <v>0.12740000000000001</v>
      </c>
      <c r="F5" s="45">
        <v>5.5E-2</v>
      </c>
      <c r="G5" s="45">
        <v>3.5000000000000003E-2</v>
      </c>
      <c r="H5" s="45">
        <v>0.41499999999999998</v>
      </c>
      <c r="I5" s="45">
        <v>0.34</v>
      </c>
      <c r="J5" s="46" t="s">
        <v>58</v>
      </c>
    </row>
    <row r="6" spans="1:10" ht="25.15" customHeight="1" x14ac:dyDescent="0.25">
      <c r="A6" s="200" t="s">
        <v>33</v>
      </c>
      <c r="B6" s="201">
        <v>9.5000000000000001E-2</v>
      </c>
      <c r="C6" s="202">
        <v>13860</v>
      </c>
      <c r="D6" s="203">
        <v>2.76E-2</v>
      </c>
      <c r="E6" s="203">
        <v>0.12740000000000001</v>
      </c>
      <c r="F6" s="203">
        <v>5.5E-2</v>
      </c>
      <c r="G6" s="203">
        <v>3.5000000000000003E-2</v>
      </c>
      <c r="H6" s="203">
        <v>0.42</v>
      </c>
      <c r="I6" s="203">
        <v>0.33500000000000002</v>
      </c>
      <c r="J6" s="204" t="s">
        <v>59</v>
      </c>
    </row>
    <row r="7" spans="1:10" ht="25.15" customHeight="1" x14ac:dyDescent="0.25">
      <c r="A7" s="111" t="s">
        <v>34</v>
      </c>
      <c r="B7" s="112">
        <v>0.107</v>
      </c>
      <c r="C7" s="113">
        <v>22500</v>
      </c>
      <c r="D7" s="114">
        <v>2.76E-2</v>
      </c>
      <c r="E7" s="114">
        <v>0.12740000000000001</v>
      </c>
      <c r="F7" s="114">
        <v>5.5E-2</v>
      </c>
      <c r="G7" s="114">
        <v>3.5000000000000003E-2</v>
      </c>
      <c r="H7" s="114">
        <v>0.42</v>
      </c>
      <c r="I7" s="114">
        <v>0.33500000000000002</v>
      </c>
      <c r="J7" s="115" t="s">
        <v>60</v>
      </c>
    </row>
    <row r="8" spans="1:10" ht="25.15" customHeight="1" x14ac:dyDescent="0.25">
      <c r="A8" s="27" t="s">
        <v>35</v>
      </c>
      <c r="B8" s="29">
        <v>0.14299999999999999</v>
      </c>
      <c r="C8" s="44">
        <v>87300</v>
      </c>
      <c r="D8" s="45">
        <v>2.76E-2</v>
      </c>
      <c r="E8" s="45">
        <v>0.12740000000000001</v>
      </c>
      <c r="F8" s="45">
        <v>5.5E-2</v>
      </c>
      <c r="G8" s="45">
        <v>3.5000000000000003E-2</v>
      </c>
      <c r="H8" s="45">
        <v>0.42</v>
      </c>
      <c r="I8" s="45">
        <v>0.33500000000000002</v>
      </c>
      <c r="J8" s="46" t="s">
        <v>61</v>
      </c>
    </row>
    <row r="9" spans="1:10" ht="25.15" customHeight="1" x14ac:dyDescent="0.25">
      <c r="A9" s="27" t="s">
        <v>36</v>
      </c>
      <c r="B9" s="28">
        <v>0.19</v>
      </c>
      <c r="C9" s="44">
        <v>378000</v>
      </c>
      <c r="D9" s="45">
        <v>6.13E-2</v>
      </c>
      <c r="E9" s="45">
        <v>0.28270000000000001</v>
      </c>
      <c r="F9" s="45">
        <v>0.13500000000000001</v>
      </c>
      <c r="G9" s="45">
        <v>0.1</v>
      </c>
      <c r="H9" s="45">
        <v>0.42099999999999999</v>
      </c>
      <c r="I9" s="46" t="s">
        <v>65</v>
      </c>
      <c r="J9" s="46" t="s">
        <v>62</v>
      </c>
    </row>
    <row r="11" spans="1:10" ht="25.15" customHeight="1" x14ac:dyDescent="0.25">
      <c r="A11" s="267" t="s">
        <v>38</v>
      </c>
      <c r="B11" s="267"/>
      <c r="C11" s="267"/>
    </row>
    <row r="12" spans="1:10" ht="25.15" customHeight="1" x14ac:dyDescent="0.25">
      <c r="A12" s="30" t="s">
        <v>28</v>
      </c>
      <c r="B12" s="30" t="s">
        <v>29</v>
      </c>
      <c r="C12" s="30" t="s">
        <v>30</v>
      </c>
    </row>
    <row r="13" spans="1:10" ht="25.15" customHeight="1" x14ac:dyDescent="0.25">
      <c r="A13" s="31" t="s">
        <v>31</v>
      </c>
      <c r="B13" s="32">
        <v>4.4999999999999998E-2</v>
      </c>
      <c r="C13" s="31">
        <v>0</v>
      </c>
    </row>
    <row r="14" spans="1:10" ht="25.15" customHeight="1" x14ac:dyDescent="0.25">
      <c r="A14" s="31" t="s">
        <v>32</v>
      </c>
      <c r="B14" s="32">
        <v>7.8E-2</v>
      </c>
      <c r="C14" s="33">
        <v>5940</v>
      </c>
    </row>
    <row r="15" spans="1:10" ht="25.15" customHeight="1" x14ac:dyDescent="0.25">
      <c r="A15" s="31" t="s">
        <v>33</v>
      </c>
      <c r="B15" s="34">
        <v>0.1</v>
      </c>
      <c r="C15" s="33">
        <v>13860</v>
      </c>
    </row>
    <row r="16" spans="1:10" ht="25.15" customHeight="1" x14ac:dyDescent="0.25">
      <c r="A16" s="31" t="s">
        <v>34</v>
      </c>
      <c r="B16" s="32">
        <v>0.112</v>
      </c>
      <c r="C16" s="33">
        <v>22500</v>
      </c>
    </row>
    <row r="17" spans="1:10" ht="25.15" customHeight="1" x14ac:dyDescent="0.25">
      <c r="A17" s="31" t="s">
        <v>39</v>
      </c>
      <c r="B17" s="32">
        <v>0.14699999999999999</v>
      </c>
      <c r="C17" s="33">
        <v>85500</v>
      </c>
    </row>
    <row r="18" spans="1:10" ht="25.15" customHeight="1" x14ac:dyDescent="0.25">
      <c r="A18" s="31" t="s">
        <v>36</v>
      </c>
      <c r="B18" s="34">
        <v>0.3</v>
      </c>
      <c r="C18" s="33">
        <v>720000</v>
      </c>
    </row>
    <row r="20" spans="1:10" ht="28.9" customHeight="1" x14ac:dyDescent="0.25">
      <c r="A20" s="268" t="s">
        <v>40</v>
      </c>
      <c r="B20" s="268"/>
      <c r="C20" s="268"/>
    </row>
    <row r="22" spans="1:10" ht="25.15" customHeight="1" x14ac:dyDescent="0.25">
      <c r="A22" s="42" t="s">
        <v>28</v>
      </c>
      <c r="B22" s="42" t="s">
        <v>29</v>
      </c>
      <c r="C22" s="42" t="s">
        <v>30</v>
      </c>
      <c r="D22" s="40" t="s">
        <v>56</v>
      </c>
      <c r="E22" s="40" t="s">
        <v>54</v>
      </c>
      <c r="F22" s="41" t="s">
        <v>10</v>
      </c>
      <c r="G22" s="40" t="s">
        <v>11</v>
      </c>
      <c r="H22" s="40" t="s">
        <v>52</v>
      </c>
      <c r="I22" s="40" t="s">
        <v>53</v>
      </c>
      <c r="J22" s="40" t="s">
        <v>55</v>
      </c>
    </row>
    <row r="23" spans="1:10" ht="25.15" customHeight="1" x14ac:dyDescent="0.25">
      <c r="A23" s="31" t="s">
        <v>31</v>
      </c>
      <c r="B23" s="34">
        <v>0.06</v>
      </c>
      <c r="C23" s="31">
        <v>0</v>
      </c>
      <c r="D23" s="38">
        <v>2.7799999999999998E-2</v>
      </c>
      <c r="E23" s="38">
        <v>0.12820000000000001</v>
      </c>
      <c r="F23" s="38">
        <v>0.04</v>
      </c>
      <c r="G23" s="38">
        <v>3.5000000000000003E-2</v>
      </c>
      <c r="H23" s="38">
        <v>0.434</v>
      </c>
      <c r="I23" s="38">
        <v>0.33500000000000002</v>
      </c>
      <c r="J23" s="39" t="s">
        <v>57</v>
      </c>
    </row>
    <row r="24" spans="1:10" ht="25.15" customHeight="1" x14ac:dyDescent="0.25">
      <c r="A24" s="31" t="s">
        <v>32</v>
      </c>
      <c r="B24" s="32">
        <v>0.112</v>
      </c>
      <c r="C24" s="33">
        <v>9360</v>
      </c>
      <c r="D24" s="38">
        <v>3.0499999999999999E-2</v>
      </c>
      <c r="E24" s="38">
        <v>0.14050000000000001</v>
      </c>
      <c r="F24" s="38">
        <v>0.04</v>
      </c>
      <c r="G24" s="38">
        <v>3.5000000000000003E-2</v>
      </c>
      <c r="H24" s="38">
        <v>0.434</v>
      </c>
      <c r="I24" s="38">
        <v>0.32</v>
      </c>
      <c r="J24" s="39" t="s">
        <v>58</v>
      </c>
    </row>
    <row r="25" spans="1:10" ht="25.15" customHeight="1" x14ac:dyDescent="0.25">
      <c r="A25" s="31" t="s">
        <v>33</v>
      </c>
      <c r="B25" s="32">
        <v>0.13500000000000001</v>
      </c>
      <c r="C25" s="33">
        <v>17640</v>
      </c>
      <c r="D25" s="38">
        <v>2.9600000000000001E-2</v>
      </c>
      <c r="E25" s="38">
        <v>0.13639999999999999</v>
      </c>
      <c r="F25" s="38">
        <v>0.04</v>
      </c>
      <c r="G25" s="38">
        <v>3.5000000000000003E-2</v>
      </c>
      <c r="H25" s="38">
        <v>0.434</v>
      </c>
      <c r="I25" s="38">
        <v>0.32500000000000001</v>
      </c>
      <c r="J25" s="39" t="s">
        <v>59</v>
      </c>
    </row>
    <row r="26" spans="1:10" ht="25.15" customHeight="1" x14ac:dyDescent="0.25">
      <c r="A26" s="31" t="s">
        <v>34</v>
      </c>
      <c r="B26" s="34">
        <v>0.16</v>
      </c>
      <c r="C26" s="33">
        <v>35640</v>
      </c>
      <c r="D26" s="38">
        <v>2.9600000000000001E-2</v>
      </c>
      <c r="E26" s="38">
        <v>0.13639999999999999</v>
      </c>
      <c r="F26" s="38">
        <v>0.04</v>
      </c>
      <c r="G26" s="38">
        <v>3.5000000000000003E-2</v>
      </c>
      <c r="H26" s="38">
        <v>0.434</v>
      </c>
      <c r="I26" s="38">
        <v>0.32500000000000001</v>
      </c>
      <c r="J26" s="39" t="s">
        <v>60</v>
      </c>
    </row>
    <row r="27" spans="1:10" ht="25.15" customHeight="1" x14ac:dyDescent="0.25">
      <c r="A27" s="31" t="s">
        <v>35</v>
      </c>
      <c r="B27" s="34">
        <v>0.21</v>
      </c>
      <c r="C27" s="33">
        <v>125640</v>
      </c>
      <c r="D27" s="38">
        <v>2.7799999999999998E-2</v>
      </c>
      <c r="E27" s="38">
        <v>0.12820000000000001</v>
      </c>
      <c r="F27" s="38">
        <v>0.04</v>
      </c>
      <c r="G27" s="38">
        <v>3.5000000000000003E-2</v>
      </c>
      <c r="H27" s="38">
        <v>0.434</v>
      </c>
      <c r="I27" s="38">
        <v>0.33500000000000002</v>
      </c>
      <c r="J27" s="39" t="s">
        <v>61</v>
      </c>
    </row>
    <row r="28" spans="1:10" ht="15" customHeight="1" x14ac:dyDescent="0.25">
      <c r="A28" s="35" t="s">
        <v>47</v>
      </c>
      <c r="B28" s="36">
        <v>0.33</v>
      </c>
      <c r="C28" s="37">
        <v>648000</v>
      </c>
      <c r="D28" s="38">
        <v>3.4700000000000002E-2</v>
      </c>
      <c r="E28" s="38">
        <v>0.1603</v>
      </c>
      <c r="F28" s="38">
        <v>0.35</v>
      </c>
      <c r="G28" s="38">
        <v>0.15</v>
      </c>
      <c r="H28" s="38">
        <v>0.30499999999999999</v>
      </c>
      <c r="I28" s="39"/>
      <c r="J28" s="39" t="s">
        <v>62</v>
      </c>
    </row>
    <row r="29" spans="1:10" ht="28.9" customHeight="1" x14ac:dyDescent="0.25">
      <c r="A29" s="267" t="s">
        <v>41</v>
      </c>
      <c r="B29" s="267"/>
      <c r="C29" s="267"/>
    </row>
    <row r="30" spans="1:10" ht="15.75" thickBot="1" x14ac:dyDescent="0.3"/>
    <row r="31" spans="1:10" ht="25.15" customHeight="1" thickBot="1" x14ac:dyDescent="0.3">
      <c r="A31" s="14" t="s">
        <v>28</v>
      </c>
      <c r="B31" s="14" t="s">
        <v>29</v>
      </c>
      <c r="C31" s="14" t="s">
        <v>30</v>
      </c>
      <c r="D31" s="106" t="s">
        <v>56</v>
      </c>
      <c r="E31" s="106" t="s">
        <v>54</v>
      </c>
      <c r="F31" s="107" t="s">
        <v>10</v>
      </c>
      <c r="G31" s="106" t="s">
        <v>11</v>
      </c>
      <c r="I31" s="106" t="s">
        <v>53</v>
      </c>
      <c r="J31" s="106" t="s">
        <v>55</v>
      </c>
    </row>
    <row r="32" spans="1:10" ht="25.15" customHeight="1" thickBot="1" x14ac:dyDescent="0.3">
      <c r="A32" s="15" t="s">
        <v>31</v>
      </c>
      <c r="B32" s="17">
        <v>4.4999999999999998E-2</v>
      </c>
      <c r="C32" s="15">
        <v>0</v>
      </c>
      <c r="D32" s="108">
        <v>3.8300000000000001E-2</v>
      </c>
      <c r="E32" s="108">
        <v>0.1767</v>
      </c>
      <c r="F32" s="108">
        <v>0.188</v>
      </c>
      <c r="G32" s="108">
        <v>0.152</v>
      </c>
      <c r="I32" s="108">
        <v>0.44500000000000001</v>
      </c>
      <c r="J32" s="109" t="s">
        <v>57</v>
      </c>
    </row>
    <row r="33" spans="1:10" ht="25.15" customHeight="1" thickBot="1" x14ac:dyDescent="0.3">
      <c r="A33" s="15" t="s">
        <v>32</v>
      </c>
      <c r="B33" s="19">
        <v>0.09</v>
      </c>
      <c r="C33" s="18">
        <v>8100</v>
      </c>
      <c r="D33" s="108">
        <v>4.4499999999999998E-2</v>
      </c>
      <c r="E33" s="108">
        <v>0.20549999999999999</v>
      </c>
      <c r="F33" s="108">
        <v>0.19800000000000001</v>
      </c>
      <c r="G33" s="108">
        <v>0.152</v>
      </c>
      <c r="I33" s="108">
        <v>0.4</v>
      </c>
      <c r="J33" s="109" t="s">
        <v>58</v>
      </c>
    </row>
    <row r="34" spans="1:10" ht="25.15" customHeight="1" thickBot="1" x14ac:dyDescent="0.3">
      <c r="A34" s="15" t="s">
        <v>33</v>
      </c>
      <c r="B34" s="17">
        <v>0.10199999999999999</v>
      </c>
      <c r="C34" s="18">
        <v>12420</v>
      </c>
      <c r="D34" s="108">
        <v>4.2700000000000002E-2</v>
      </c>
      <c r="E34" s="108">
        <v>0.1973</v>
      </c>
      <c r="F34" s="108">
        <v>0.20799999999999999</v>
      </c>
      <c r="G34" s="108">
        <v>0.152</v>
      </c>
      <c r="I34" s="108">
        <v>0.4</v>
      </c>
      <c r="J34" s="109" t="s">
        <v>59</v>
      </c>
    </row>
    <row r="35" spans="1:10" ht="25.15" customHeight="1" thickBot="1" x14ac:dyDescent="0.3">
      <c r="A35" s="15" t="s">
        <v>34</v>
      </c>
      <c r="B35" s="19">
        <v>0.14000000000000001</v>
      </c>
      <c r="C35" s="18">
        <v>39780</v>
      </c>
      <c r="D35" s="108">
        <v>4.1000000000000002E-2</v>
      </c>
      <c r="E35" s="108">
        <v>0.189</v>
      </c>
      <c r="F35" s="108">
        <v>0.17799999999999999</v>
      </c>
      <c r="G35" s="108">
        <v>0.192</v>
      </c>
      <c r="I35" s="108">
        <v>0.4</v>
      </c>
      <c r="J35" s="109" t="s">
        <v>60</v>
      </c>
    </row>
    <row r="36" spans="1:10" ht="25.15" customHeight="1" thickBot="1" x14ac:dyDescent="0.3">
      <c r="A36" s="15" t="s">
        <v>35</v>
      </c>
      <c r="B36" s="19">
        <v>0.22</v>
      </c>
      <c r="C36" s="18">
        <v>183780</v>
      </c>
      <c r="D36" s="108">
        <v>3.9199999999999999E-2</v>
      </c>
      <c r="E36" s="108">
        <v>0.18079999999999999</v>
      </c>
      <c r="F36" s="108">
        <v>0.188</v>
      </c>
      <c r="G36" s="108">
        <v>0.192</v>
      </c>
      <c r="I36" s="109" t="s">
        <v>84</v>
      </c>
      <c r="J36" s="109" t="s">
        <v>61</v>
      </c>
    </row>
    <row r="37" spans="1:10" ht="25.15" customHeight="1" thickBot="1" x14ac:dyDescent="0.3">
      <c r="A37" s="15" t="s">
        <v>36</v>
      </c>
      <c r="B37" s="19">
        <v>0.33</v>
      </c>
      <c r="C37" s="18">
        <v>828000</v>
      </c>
      <c r="D37" s="108">
        <v>4.4499999999999998E-2</v>
      </c>
      <c r="E37" s="108">
        <v>0.20549999999999999</v>
      </c>
      <c r="F37" s="108">
        <v>0.53500000000000003</v>
      </c>
      <c r="G37" s="108">
        <v>0.215</v>
      </c>
      <c r="I37" s="109" t="s">
        <v>65</v>
      </c>
      <c r="J37" s="109" t="s">
        <v>62</v>
      </c>
    </row>
    <row r="38" spans="1:10" ht="15.75" thickBot="1" x14ac:dyDescent="0.3">
      <c r="D38" s="109" t="s">
        <v>56</v>
      </c>
      <c r="E38" s="109" t="s">
        <v>54</v>
      </c>
      <c r="F38" s="109" t="s">
        <v>10</v>
      </c>
      <c r="G38" s="109" t="s">
        <v>11</v>
      </c>
      <c r="I38" s="109" t="s">
        <v>53</v>
      </c>
      <c r="J38" s="109" t="s">
        <v>85</v>
      </c>
    </row>
    <row r="39" spans="1:10" ht="28.9" customHeight="1" thickBot="1" x14ac:dyDescent="0.3">
      <c r="A39" s="267" t="s">
        <v>42</v>
      </c>
      <c r="B39" s="267"/>
      <c r="C39" s="267"/>
      <c r="D39" s="109" t="s">
        <v>91</v>
      </c>
      <c r="E39" s="109" t="s">
        <v>89</v>
      </c>
      <c r="F39" s="109" t="s">
        <v>88</v>
      </c>
      <c r="G39" s="109" t="s">
        <v>87</v>
      </c>
      <c r="I39" s="109" t="s">
        <v>86</v>
      </c>
      <c r="J39" s="109" t="s">
        <v>90</v>
      </c>
    </row>
    <row r="40" spans="1:10" ht="15.75" thickBot="1" x14ac:dyDescent="0.3"/>
    <row r="41" spans="1:10" ht="25.15" customHeight="1" thickBot="1" x14ac:dyDescent="0.3">
      <c r="A41" s="14" t="s">
        <v>28</v>
      </c>
      <c r="B41" s="14" t="s">
        <v>29</v>
      </c>
      <c r="C41" s="14" t="s">
        <v>30</v>
      </c>
      <c r="D41" s="164" t="s">
        <v>52</v>
      </c>
      <c r="E41" s="164" t="s">
        <v>53</v>
      </c>
      <c r="F41" s="164" t="s">
        <v>11</v>
      </c>
      <c r="G41" s="165" t="s">
        <v>10</v>
      </c>
      <c r="H41" s="164" t="s">
        <v>54</v>
      </c>
      <c r="I41" s="164" t="s">
        <v>55</v>
      </c>
      <c r="J41" s="164" t="s">
        <v>56</v>
      </c>
    </row>
    <row r="42" spans="1:10" ht="25.15" customHeight="1" thickBot="1" x14ac:dyDescent="0.3">
      <c r="A42" s="15" t="s">
        <v>31</v>
      </c>
      <c r="B42" s="17">
        <v>0.155</v>
      </c>
      <c r="C42" s="15">
        <v>0</v>
      </c>
      <c r="D42" s="162">
        <v>0.28849999999999998</v>
      </c>
      <c r="E42" s="162">
        <v>0.14000000000000001</v>
      </c>
      <c r="F42" s="162">
        <v>0.15</v>
      </c>
      <c r="G42" s="162">
        <v>0.25</v>
      </c>
      <c r="H42" s="162">
        <v>0.14099999999999999</v>
      </c>
      <c r="I42" s="163" t="s">
        <v>57</v>
      </c>
      <c r="J42" s="162">
        <v>3.0499999999999999E-2</v>
      </c>
    </row>
    <row r="43" spans="1:10" ht="25.15" customHeight="1" thickBot="1" x14ac:dyDescent="0.3">
      <c r="A43" s="15" t="s">
        <v>43</v>
      </c>
      <c r="B43" s="19">
        <v>0.18</v>
      </c>
      <c r="C43" s="18">
        <v>4500</v>
      </c>
      <c r="D43" s="162">
        <v>0.27850000000000003</v>
      </c>
      <c r="E43" s="162">
        <v>0.17</v>
      </c>
      <c r="F43" s="162">
        <v>0.15</v>
      </c>
      <c r="G43" s="162">
        <v>0.23</v>
      </c>
      <c r="H43" s="162">
        <v>0.14099999999999999</v>
      </c>
      <c r="I43" s="163" t="s">
        <v>58</v>
      </c>
      <c r="J43" s="162">
        <v>3.0499999999999999E-2</v>
      </c>
    </row>
    <row r="44" spans="1:10" ht="25.15" customHeight="1" thickBot="1" x14ac:dyDescent="0.3">
      <c r="A44" s="15" t="s">
        <v>44</v>
      </c>
      <c r="B44" s="17">
        <v>0.19500000000000001</v>
      </c>
      <c r="C44" s="18">
        <v>9900</v>
      </c>
      <c r="D44" s="162">
        <v>0.23849999999999999</v>
      </c>
      <c r="E44" s="162">
        <v>0.19</v>
      </c>
      <c r="F44" s="162">
        <v>0.15</v>
      </c>
      <c r="G44" s="162">
        <v>0.24</v>
      </c>
      <c r="H44" s="162">
        <v>0.1492</v>
      </c>
      <c r="I44" s="163" t="s">
        <v>59</v>
      </c>
      <c r="J44" s="166">
        <v>3.2300000000000002E-2</v>
      </c>
    </row>
    <row r="45" spans="1:10" s="172" customFormat="1" ht="25.15" customHeight="1" thickBot="1" x14ac:dyDescent="0.3">
      <c r="A45" s="167" t="s">
        <v>45</v>
      </c>
      <c r="B45" s="168">
        <v>0.20499999999999999</v>
      </c>
      <c r="C45" s="169">
        <v>17100</v>
      </c>
      <c r="D45" s="170">
        <v>0.23849999999999999</v>
      </c>
      <c r="E45" s="170">
        <v>0.21</v>
      </c>
      <c r="F45" s="170">
        <v>0.15</v>
      </c>
      <c r="G45" s="170">
        <v>0.21</v>
      </c>
      <c r="H45" s="170">
        <v>0.15740000000000001</v>
      </c>
      <c r="I45" s="171" t="s">
        <v>60</v>
      </c>
      <c r="J45" s="170">
        <v>3.4099999999999998E-2</v>
      </c>
    </row>
    <row r="46" spans="1:10" ht="25.15" customHeight="1" thickBot="1" x14ac:dyDescent="0.3">
      <c r="A46" s="15" t="s">
        <v>46</v>
      </c>
      <c r="B46" s="19">
        <v>0.23</v>
      </c>
      <c r="C46" s="18">
        <v>62100</v>
      </c>
      <c r="D46" s="162">
        <v>0.23849999999999999</v>
      </c>
      <c r="E46" s="162">
        <v>0.23499999999999999</v>
      </c>
      <c r="F46" s="162">
        <v>0.125</v>
      </c>
      <c r="G46" s="162">
        <v>0.23</v>
      </c>
      <c r="H46" s="162">
        <v>0.14099999999999999</v>
      </c>
      <c r="I46" s="163" t="s">
        <v>61</v>
      </c>
      <c r="J46" s="162">
        <v>3.0499999999999999E-2</v>
      </c>
    </row>
    <row r="47" spans="1:10" ht="25.15" customHeight="1" thickBot="1" x14ac:dyDescent="0.3">
      <c r="A47" s="15" t="s">
        <v>47</v>
      </c>
      <c r="B47" s="17">
        <v>0.30499999999999999</v>
      </c>
      <c r="C47" s="18">
        <v>540000</v>
      </c>
      <c r="D47" s="162">
        <v>0.29499999999999998</v>
      </c>
      <c r="E47" s="163" t="s">
        <v>65</v>
      </c>
      <c r="F47" s="162">
        <v>0.155</v>
      </c>
      <c r="G47" s="162">
        <v>0.35</v>
      </c>
      <c r="H47" s="162">
        <v>0.16439999999999999</v>
      </c>
      <c r="I47" s="163" t="s">
        <v>62</v>
      </c>
      <c r="J47" s="162">
        <v>3.56E-2</v>
      </c>
    </row>
  </sheetData>
  <mergeCells count="5">
    <mergeCell ref="A29:C29"/>
    <mergeCell ref="A39:C39"/>
    <mergeCell ref="A20:C20"/>
    <mergeCell ref="A11:C11"/>
    <mergeCell ref="A2:C2"/>
  </mergeCells>
  <hyperlinks>
    <hyperlink ref="A2" r:id="rId1" display="https://www.contabilizei.com.br/contabilidade-online/anexo-1-simples-nacional/" xr:uid="{84E0D5AA-99B6-424E-BFE9-93964FF9743D}"/>
    <hyperlink ref="A11" r:id="rId2" display="https://www.contabilizei.com.br/contabilidade-online/anexo-2-simples-nacional/" xr:uid="{29C2A58F-1DDE-4104-A0ED-8E6D9C2128C9}"/>
    <hyperlink ref="A20" r:id="rId3" display="https://www.contabilizei.com.br/contabilidade-online/anexo-3-simples-nacional/" xr:uid="{E9A89ADE-B8D8-4623-BD84-464D86E80315}"/>
    <hyperlink ref="A29" r:id="rId4" display="https://www.contabilizei.com.br/contabilidade-online/anexo-4-simples-nacional/" xr:uid="{817B92CC-E916-4762-B7ED-7D8B9B374A1C}"/>
    <hyperlink ref="A39" r:id="rId5" display="https://www.contabilizei.com.br/contabilidade-online/anexo-5-simples-nacional/" xr:uid="{17FE4066-32DD-41B3-9BF3-D4CE9E7085BC}"/>
    <hyperlink ref="F22" r:id="rId6" display="https://www.contabilizei.com.br/contabilidade-online/irpj-imposto-de-renda-pessoa-juridica/" xr:uid="{A390E30C-C963-4DAA-BC51-66E8D4001D4A}"/>
    <hyperlink ref="F3" r:id="rId7" display="https://www.contabilizei.com.br/contabilidade-online/irpj-imposto-de-renda-pessoa-juridica/" xr:uid="{91D741E9-193E-44B7-A287-8D357EE2638C}"/>
    <hyperlink ref="F31" r:id="rId8" display="https://www.contabilizei.com.br/contabilidade-online/irpj-imposto-de-renda-pessoa-juridica/" xr:uid="{7A596904-5352-4BEE-B603-BB0BC7B6B3B7}"/>
    <hyperlink ref="G41" r:id="rId9" display="https://www.contabilizei.com.br/contabilidade-online/irpj-imposto-de-renda-pessoa-juridica/" xr:uid="{E242971C-8230-4D57-ABAD-C597A2FE3B5F}"/>
  </hyperlinks>
  <pageMargins left="0.511811024" right="0.511811024" top="0.78740157499999996" bottom="0.78740157499999996" header="0.31496062000000002" footer="0.31496062000000002"/>
  <pageSetup paperSize="9" orientation="portrait" r:id="rId1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2C73E-84CC-47E8-B9ED-60CBD47FA849}">
  <dimension ref="D2:Q28"/>
  <sheetViews>
    <sheetView topLeftCell="A9" zoomScaleNormal="100" workbookViewId="0">
      <selection activeCell="E28" sqref="E28"/>
    </sheetView>
  </sheetViews>
  <sheetFormatPr defaultRowHeight="15" x14ac:dyDescent="0.25"/>
  <cols>
    <col min="5" max="5" width="16.42578125" bestFit="1" customWidth="1"/>
    <col min="9" max="9" width="11.42578125" bestFit="1" customWidth="1"/>
    <col min="10" max="10" width="13.7109375" bestFit="1" customWidth="1"/>
    <col min="16" max="16" width="10.5703125" bestFit="1" customWidth="1"/>
    <col min="17" max="17" width="12.5703125" bestFit="1" customWidth="1"/>
  </cols>
  <sheetData>
    <row r="2" spans="4:17" x14ac:dyDescent="0.25">
      <c r="D2" s="48">
        <v>45261</v>
      </c>
      <c r="E2" s="49">
        <v>100000</v>
      </c>
    </row>
    <row r="3" spans="4:17" ht="15.75" thickBot="1" x14ac:dyDescent="0.3">
      <c r="D3" s="48">
        <v>45231</v>
      </c>
      <c r="E3" s="49">
        <v>100000</v>
      </c>
    </row>
    <row r="4" spans="4:17" ht="16.5" customHeight="1" thickBot="1" x14ac:dyDescent="0.3">
      <c r="D4" s="48">
        <v>45200</v>
      </c>
      <c r="E4" s="49">
        <v>100000</v>
      </c>
      <c r="H4" s="4" t="s">
        <v>5</v>
      </c>
      <c r="I4" s="4" t="s">
        <v>6</v>
      </c>
      <c r="J4" s="4" t="s">
        <v>7</v>
      </c>
      <c r="K4" s="4" t="s">
        <v>8</v>
      </c>
      <c r="L4" s="4" t="s">
        <v>9</v>
      </c>
      <c r="M4" s="4" t="s">
        <v>10</v>
      </c>
      <c r="N4" s="147" t="s">
        <v>11</v>
      </c>
      <c r="O4" s="147" t="s">
        <v>17</v>
      </c>
      <c r="P4" s="146" t="s">
        <v>12</v>
      </c>
      <c r="Q4" s="4" t="s">
        <v>13</v>
      </c>
    </row>
    <row r="5" spans="4:17" ht="15.75" customHeight="1" thickBot="1" x14ac:dyDescent="0.3">
      <c r="D5" s="48">
        <v>45170</v>
      </c>
      <c r="E5" s="49">
        <v>100000</v>
      </c>
      <c r="H5" s="148">
        <v>44896</v>
      </c>
      <c r="I5" s="149">
        <v>42343.77</v>
      </c>
      <c r="J5" s="150">
        <v>1458034.88</v>
      </c>
      <c r="K5" s="151">
        <v>106.48</v>
      </c>
      <c r="L5" s="151">
        <v>491.63</v>
      </c>
      <c r="M5" s="151">
        <v>217.72</v>
      </c>
      <c r="N5" s="152">
        <v>138.54</v>
      </c>
      <c r="O5" s="154">
        <v>77.27</v>
      </c>
      <c r="P5" s="153">
        <v>1297.28</v>
      </c>
      <c r="Q5" s="155">
        <v>1616.18</v>
      </c>
    </row>
    <row r="6" spans="4:17" ht="15.75" customHeight="1" x14ac:dyDescent="0.25">
      <c r="D6" s="48">
        <v>45139</v>
      </c>
      <c r="E6" s="49">
        <v>100000</v>
      </c>
    </row>
    <row r="7" spans="4:17" ht="15.75" customHeight="1" x14ac:dyDescent="0.25">
      <c r="D7" s="48">
        <v>45108</v>
      </c>
      <c r="E7" s="49">
        <v>100000</v>
      </c>
    </row>
    <row r="8" spans="4:17" ht="15.75" customHeight="1" x14ac:dyDescent="0.25">
      <c r="D8" s="48">
        <v>45078</v>
      </c>
      <c r="E8" s="49">
        <v>100000</v>
      </c>
    </row>
    <row r="9" spans="4:17" ht="15.75" customHeight="1" x14ac:dyDescent="0.25">
      <c r="D9" s="48">
        <v>45047</v>
      </c>
      <c r="E9" s="49">
        <v>100000</v>
      </c>
    </row>
    <row r="10" spans="4:17" ht="15.75" customHeight="1" x14ac:dyDescent="0.25">
      <c r="D10" s="48">
        <v>45017</v>
      </c>
      <c r="E10" s="49">
        <v>100000</v>
      </c>
    </row>
    <row r="11" spans="4:17" ht="15.75" customHeight="1" x14ac:dyDescent="0.25">
      <c r="D11" s="48">
        <v>44986</v>
      </c>
      <c r="E11" s="49">
        <v>100000</v>
      </c>
    </row>
    <row r="12" spans="4:17" ht="15.75" customHeight="1" x14ac:dyDescent="0.25">
      <c r="D12" s="48">
        <v>44958</v>
      </c>
      <c r="E12" s="49">
        <v>100000</v>
      </c>
    </row>
    <row r="13" spans="4:17" ht="15.75" customHeight="1" x14ac:dyDescent="0.25">
      <c r="D13" s="48">
        <v>44927</v>
      </c>
      <c r="E13" s="49">
        <v>100000</v>
      </c>
    </row>
    <row r="14" spans="4:17" ht="15.75" customHeight="1" x14ac:dyDescent="0.25">
      <c r="D14" s="50">
        <v>44896</v>
      </c>
      <c r="E14" s="117">
        <v>200048.11</v>
      </c>
    </row>
    <row r="15" spans="4:17" ht="15.75" customHeight="1" x14ac:dyDescent="0.25">
      <c r="D15" s="50">
        <v>44866</v>
      </c>
      <c r="E15" s="145">
        <v>433796.09</v>
      </c>
    </row>
    <row r="16" spans="4:17" ht="15.75" customHeight="1" x14ac:dyDescent="0.25">
      <c r="D16" s="50">
        <v>44835</v>
      </c>
      <c r="E16" s="145">
        <v>363654.01</v>
      </c>
    </row>
    <row r="17" spans="4:5" ht="16.5" customHeight="1" x14ac:dyDescent="0.25">
      <c r="D17" s="50">
        <v>44805</v>
      </c>
      <c r="E17" s="145">
        <v>446968.74</v>
      </c>
    </row>
    <row r="18" spans="4:5" x14ac:dyDescent="0.25">
      <c r="D18" s="50">
        <v>44774</v>
      </c>
      <c r="E18" s="145">
        <v>486387.3</v>
      </c>
    </row>
    <row r="19" spans="4:5" x14ac:dyDescent="0.25">
      <c r="D19" s="50">
        <v>44743</v>
      </c>
      <c r="E19" s="145">
        <v>407179.16</v>
      </c>
    </row>
    <row r="20" spans="4:5" x14ac:dyDescent="0.25">
      <c r="D20" s="50">
        <v>44713</v>
      </c>
      <c r="E20" s="145">
        <v>389441.14</v>
      </c>
    </row>
    <row r="21" spans="4:5" x14ac:dyDescent="0.25">
      <c r="D21" s="50">
        <v>44682</v>
      </c>
      <c r="E21" s="145">
        <v>357092.77</v>
      </c>
    </row>
    <row r="22" spans="4:5" x14ac:dyDescent="0.25">
      <c r="D22" s="50">
        <v>44652</v>
      </c>
      <c r="E22" s="145">
        <v>277903.59000000003</v>
      </c>
    </row>
    <row r="23" spans="4:5" x14ac:dyDescent="0.25">
      <c r="D23" s="50">
        <v>44621</v>
      </c>
      <c r="E23" s="145">
        <v>497518.5</v>
      </c>
    </row>
    <row r="24" spans="4:5" x14ac:dyDescent="0.25">
      <c r="D24" s="50">
        <v>44593</v>
      </c>
      <c r="E24" s="145">
        <v>538580.03</v>
      </c>
    </row>
    <row r="25" spans="4:5" x14ac:dyDescent="0.25">
      <c r="D25" s="50">
        <v>44562</v>
      </c>
      <c r="E25" s="145">
        <v>296852.7</v>
      </c>
    </row>
    <row r="26" spans="4:5" x14ac:dyDescent="0.25">
      <c r="D26" s="50">
        <v>44531</v>
      </c>
      <c r="E26" s="145">
        <v>200048.11</v>
      </c>
    </row>
    <row r="27" spans="4:5" x14ac:dyDescent="0.25">
      <c r="D27" s="50">
        <v>44501</v>
      </c>
      <c r="E27" s="145">
        <v>433796.09</v>
      </c>
    </row>
    <row r="28" spans="4:5" x14ac:dyDescent="0.25">
      <c r="E28" s="118">
        <f>SUM(E16:E27)</f>
        <v>4695422.1400000006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724BB-A541-434E-B1D1-2777CA729FDA}">
  <dimension ref="A1:L65"/>
  <sheetViews>
    <sheetView zoomScaleNormal="100" workbookViewId="0">
      <selection activeCell="J54" sqref="J54"/>
    </sheetView>
  </sheetViews>
  <sheetFormatPr defaultRowHeight="15" x14ac:dyDescent="0.25"/>
  <cols>
    <col min="1" max="1" width="22" customWidth="1"/>
    <col min="2" max="2" width="21" customWidth="1"/>
    <col min="3" max="3" width="22.85546875" customWidth="1"/>
    <col min="4" max="4" width="15.5703125" customWidth="1"/>
    <col min="5" max="5" width="13.7109375" customWidth="1"/>
    <col min="6" max="6" width="14.140625" customWidth="1"/>
    <col min="7" max="7" width="14.7109375" customWidth="1"/>
    <col min="8" max="8" width="14.85546875" customWidth="1"/>
    <col min="9" max="9" width="15.7109375" customWidth="1"/>
    <col min="10" max="10" width="15.140625" customWidth="1"/>
    <col min="12" max="12" width="11.85546875" bestFit="1" customWidth="1"/>
  </cols>
  <sheetData>
    <row r="1" spans="1:12" ht="25.9" customHeight="1" thickBot="1" x14ac:dyDescent="0.3">
      <c r="A1" s="270" t="s">
        <v>68</v>
      </c>
      <c r="B1" s="270"/>
      <c r="C1" s="270"/>
      <c r="D1" s="270"/>
      <c r="E1" s="270"/>
      <c r="F1" s="270"/>
      <c r="G1" s="270"/>
      <c r="H1" s="270"/>
      <c r="I1" s="270"/>
      <c r="J1" s="270"/>
    </row>
    <row r="2" spans="1:12" ht="16.5" thickBot="1" x14ac:dyDescent="0.3">
      <c r="A2" s="3" t="s">
        <v>66</v>
      </c>
      <c r="B2" s="271" t="s">
        <v>70</v>
      </c>
      <c r="C2" s="272"/>
      <c r="D2" s="272"/>
      <c r="E2" s="272"/>
      <c r="F2" s="272"/>
      <c r="G2" s="272"/>
      <c r="H2" s="272"/>
      <c r="I2" s="272"/>
      <c r="J2" s="273"/>
    </row>
    <row r="3" spans="1:12" ht="16.5" thickBot="1" x14ac:dyDescent="0.3">
      <c r="A3" s="4" t="s">
        <v>5</v>
      </c>
      <c r="B3" s="58" t="s">
        <v>6</v>
      </c>
      <c r="C3" s="58" t="s">
        <v>7</v>
      </c>
      <c r="D3" s="62" t="s">
        <v>8</v>
      </c>
      <c r="E3" s="62" t="s">
        <v>9</v>
      </c>
      <c r="F3" s="62" t="s">
        <v>10</v>
      </c>
      <c r="G3" s="62" t="s">
        <v>11</v>
      </c>
      <c r="H3" s="62" t="s">
        <v>64</v>
      </c>
      <c r="I3" s="63" t="s">
        <v>12</v>
      </c>
      <c r="J3" s="58" t="s">
        <v>67</v>
      </c>
    </row>
    <row r="4" spans="1:12" x14ac:dyDescent="0.25">
      <c r="A4" s="5">
        <v>44562</v>
      </c>
      <c r="B4" s="6">
        <v>0</v>
      </c>
      <c r="C4" s="64">
        <v>0</v>
      </c>
      <c r="D4" s="7" t="e">
        <f>B4*D8</f>
        <v>#DIV/0!</v>
      </c>
      <c r="E4" s="7" t="e">
        <f>B4*E8</f>
        <v>#DIV/0!</v>
      </c>
      <c r="F4" s="7" t="e">
        <f>B4*F8</f>
        <v>#DIV/0!</v>
      </c>
      <c r="G4" s="7" t="e">
        <f>B4*G8</f>
        <v>#DIV/0!</v>
      </c>
      <c r="H4" s="7" t="e">
        <f>B4*H8</f>
        <v>#DIV/0!</v>
      </c>
      <c r="I4" s="24" t="e">
        <f>B4*I8</f>
        <v>#DIV/0!</v>
      </c>
      <c r="J4" s="51" t="e">
        <f>SUM(D4:I4)</f>
        <v>#DIV/0!</v>
      </c>
      <c r="L4" s="110"/>
    </row>
    <row r="5" spans="1:12" x14ac:dyDescent="0.25">
      <c r="A5" s="65" t="s">
        <v>48</v>
      </c>
      <c r="B5" s="65" t="s">
        <v>50</v>
      </c>
      <c r="C5" s="20" t="s">
        <v>51</v>
      </c>
      <c r="D5" s="20" t="s">
        <v>63</v>
      </c>
      <c r="E5" s="20" t="s">
        <v>63</v>
      </c>
      <c r="F5" s="20" t="s">
        <v>63</v>
      </c>
      <c r="G5" s="20" t="s">
        <v>63</v>
      </c>
      <c r="H5" s="20" t="s">
        <v>63</v>
      </c>
      <c r="I5" s="20" t="s">
        <v>63</v>
      </c>
      <c r="J5" s="52"/>
    </row>
    <row r="6" spans="1:12" x14ac:dyDescent="0.25">
      <c r="A6" s="65" t="s">
        <v>92</v>
      </c>
      <c r="B6" s="67">
        <f>TABELAS!B9</f>
        <v>0.19</v>
      </c>
      <c r="C6" s="21">
        <f>TABELAS!C9</f>
        <v>378000</v>
      </c>
      <c r="D6" s="22" t="e">
        <f>((C4*B6)-C6)/C4</f>
        <v>#DIV/0!</v>
      </c>
      <c r="E6" s="16" t="e">
        <f>D6</f>
        <v>#DIV/0!</v>
      </c>
      <c r="F6" s="16" t="e">
        <f>E6</f>
        <v>#DIV/0!</v>
      </c>
      <c r="G6" s="16" t="e">
        <f>F6</f>
        <v>#DIV/0!</v>
      </c>
      <c r="H6" s="16" t="e">
        <f>G6</f>
        <v>#DIV/0!</v>
      </c>
      <c r="I6" s="16" t="e">
        <f>H6</f>
        <v>#DIV/0!</v>
      </c>
      <c r="J6" s="52"/>
    </row>
    <row r="7" spans="1:12" x14ac:dyDescent="0.25">
      <c r="A7" s="52"/>
      <c r="B7" s="52"/>
      <c r="D7" s="116">
        <f>TABELAS!D7</f>
        <v>2.76E-2</v>
      </c>
      <c r="E7" s="116">
        <f>TABELAS!E7</f>
        <v>0.12740000000000001</v>
      </c>
      <c r="F7" s="116">
        <f>TABELAS!F7</f>
        <v>5.5E-2</v>
      </c>
      <c r="G7" s="116">
        <f>TABELAS!G7</f>
        <v>3.5000000000000003E-2</v>
      </c>
      <c r="H7" s="116">
        <f>TABELAS!H7</f>
        <v>0.42</v>
      </c>
      <c r="I7" s="116">
        <f>TABELAS!I7</f>
        <v>0.33500000000000002</v>
      </c>
      <c r="J7" s="52"/>
    </row>
    <row r="8" spans="1:12" ht="15.75" thickBot="1" x14ac:dyDescent="0.3">
      <c r="A8" s="52"/>
      <c r="B8" s="52"/>
      <c r="D8" s="23" t="e">
        <f t="shared" ref="D8:I8" si="0">D7*D6</f>
        <v>#DIV/0!</v>
      </c>
      <c r="E8" s="23" t="e">
        <f t="shared" si="0"/>
        <v>#DIV/0!</v>
      </c>
      <c r="F8" s="23" t="e">
        <f t="shared" si="0"/>
        <v>#DIV/0!</v>
      </c>
      <c r="G8" s="23" t="e">
        <f t="shared" si="0"/>
        <v>#DIV/0!</v>
      </c>
      <c r="H8" s="23" t="e">
        <f t="shared" si="0"/>
        <v>#DIV/0!</v>
      </c>
      <c r="I8" s="23" t="e">
        <f t="shared" si="0"/>
        <v>#DIV/0!</v>
      </c>
      <c r="J8" s="52"/>
    </row>
    <row r="9" spans="1:12" x14ac:dyDescent="0.25">
      <c r="A9" s="9">
        <v>44593</v>
      </c>
      <c r="B9" s="10">
        <v>0</v>
      </c>
      <c r="C9" s="64">
        <v>0</v>
      </c>
      <c r="D9" s="7" t="e">
        <f>B9*D13</f>
        <v>#DIV/0!</v>
      </c>
      <c r="E9" s="7" t="e">
        <f>B9*E13</f>
        <v>#DIV/0!</v>
      </c>
      <c r="F9" s="7" t="e">
        <f>B9*F13</f>
        <v>#DIV/0!</v>
      </c>
      <c r="G9" s="7" t="e">
        <f>B9*G13</f>
        <v>#DIV/0!</v>
      </c>
      <c r="H9" s="7" t="e">
        <f>B9*H13</f>
        <v>#DIV/0!</v>
      </c>
      <c r="I9" s="24" t="e">
        <f>B9*I13</f>
        <v>#DIV/0!</v>
      </c>
      <c r="J9" s="53" t="e">
        <f>SUM(D9:I9)</f>
        <v>#DIV/0!</v>
      </c>
    </row>
    <row r="10" spans="1:12" x14ac:dyDescent="0.25">
      <c r="A10" s="65" t="s">
        <v>48</v>
      </c>
      <c r="B10" s="65" t="s">
        <v>50</v>
      </c>
      <c r="C10" s="20" t="s">
        <v>51</v>
      </c>
      <c r="D10" s="20" t="s">
        <v>63</v>
      </c>
      <c r="E10" s="20" t="s">
        <v>63</v>
      </c>
      <c r="F10" s="20" t="s">
        <v>63</v>
      </c>
      <c r="G10" s="20" t="s">
        <v>63</v>
      </c>
      <c r="H10" s="20" t="s">
        <v>63</v>
      </c>
      <c r="I10" s="20" t="s">
        <v>63</v>
      </c>
      <c r="J10" s="52"/>
    </row>
    <row r="11" spans="1:12" x14ac:dyDescent="0.25">
      <c r="A11" s="65" t="str">
        <f>A6</f>
        <v>I</v>
      </c>
      <c r="B11" s="67">
        <f>TABELAS!B7</f>
        <v>0.107</v>
      </c>
      <c r="C11" s="21">
        <f>TABELAS!C7</f>
        <v>22500</v>
      </c>
      <c r="D11" s="22" t="e">
        <f>((C9*B11)-C11)/C9</f>
        <v>#DIV/0!</v>
      </c>
      <c r="E11" s="16" t="e">
        <f>D11</f>
        <v>#DIV/0!</v>
      </c>
      <c r="F11" s="16" t="e">
        <f>E11</f>
        <v>#DIV/0!</v>
      </c>
      <c r="G11" s="16" t="e">
        <f>F11</f>
        <v>#DIV/0!</v>
      </c>
      <c r="H11" s="16" t="e">
        <f>G11</f>
        <v>#DIV/0!</v>
      </c>
      <c r="I11" s="16" t="e">
        <f>H11</f>
        <v>#DIV/0!</v>
      </c>
      <c r="J11" s="52"/>
    </row>
    <row r="12" spans="1:12" x14ac:dyDescent="0.25">
      <c r="A12" s="52"/>
      <c r="B12" s="52"/>
      <c r="D12" s="16">
        <f>TABELAS!D25</f>
        <v>2.9600000000000001E-2</v>
      </c>
      <c r="E12" s="16">
        <f>TABELAS!E25</f>
        <v>0.13639999999999999</v>
      </c>
      <c r="F12" s="16">
        <f>TABELAS!F25</f>
        <v>0.04</v>
      </c>
      <c r="G12" s="16">
        <f>TABELAS!G25</f>
        <v>3.5000000000000003E-2</v>
      </c>
      <c r="H12" s="16">
        <f>TABELAS!H25</f>
        <v>0.434</v>
      </c>
      <c r="I12" s="16">
        <f>TABELAS!I25</f>
        <v>0.32500000000000001</v>
      </c>
      <c r="J12" s="52"/>
    </row>
    <row r="13" spans="1:12" ht="15.75" thickBot="1" x14ac:dyDescent="0.3">
      <c r="A13" s="52"/>
      <c r="B13" s="52"/>
      <c r="D13" s="23" t="e">
        <f t="shared" ref="D13:I13" si="1">D12*D11</f>
        <v>#DIV/0!</v>
      </c>
      <c r="E13" s="23" t="e">
        <f t="shared" si="1"/>
        <v>#DIV/0!</v>
      </c>
      <c r="F13" s="23" t="e">
        <f t="shared" si="1"/>
        <v>#DIV/0!</v>
      </c>
      <c r="G13" s="23" t="e">
        <f t="shared" si="1"/>
        <v>#DIV/0!</v>
      </c>
      <c r="H13" s="23" t="e">
        <f t="shared" si="1"/>
        <v>#DIV/0!</v>
      </c>
      <c r="I13" s="23" t="e">
        <f t="shared" si="1"/>
        <v>#DIV/0!</v>
      </c>
      <c r="J13" s="52"/>
    </row>
    <row r="14" spans="1:12" x14ac:dyDescent="0.25">
      <c r="A14" s="9">
        <v>44621</v>
      </c>
      <c r="B14" s="10">
        <v>0</v>
      </c>
      <c r="C14" s="64">
        <v>0</v>
      </c>
      <c r="D14" s="7" t="e">
        <f>B14*D18</f>
        <v>#DIV/0!</v>
      </c>
      <c r="E14" s="7" t="e">
        <f>B14*E18</f>
        <v>#DIV/0!</v>
      </c>
      <c r="F14" s="7" t="e">
        <f>B14*F18</f>
        <v>#DIV/0!</v>
      </c>
      <c r="G14" s="7" t="e">
        <f>B14*G18</f>
        <v>#DIV/0!</v>
      </c>
      <c r="H14" s="7" t="e">
        <f>B14*H18</f>
        <v>#DIV/0!</v>
      </c>
      <c r="I14" s="24" t="e">
        <f>B14*I18</f>
        <v>#DIV/0!</v>
      </c>
      <c r="J14" s="53" t="e">
        <f>SUM(D14:I14)</f>
        <v>#DIV/0!</v>
      </c>
    </row>
    <row r="15" spans="1:12" x14ac:dyDescent="0.25">
      <c r="A15" s="65" t="s">
        <v>48</v>
      </c>
      <c r="B15" s="65" t="s">
        <v>50</v>
      </c>
      <c r="C15" s="20" t="s">
        <v>51</v>
      </c>
      <c r="D15" s="20" t="s">
        <v>63</v>
      </c>
      <c r="E15" s="20" t="s">
        <v>63</v>
      </c>
      <c r="F15" s="20" t="s">
        <v>63</v>
      </c>
      <c r="G15" s="20" t="s">
        <v>63</v>
      </c>
      <c r="H15" s="20" t="s">
        <v>63</v>
      </c>
      <c r="I15" s="20" t="s">
        <v>63</v>
      </c>
      <c r="J15" s="52"/>
    </row>
    <row r="16" spans="1:12" x14ac:dyDescent="0.25">
      <c r="A16" s="65" t="str">
        <f>A11</f>
        <v>I</v>
      </c>
      <c r="B16" s="67">
        <f>TABELAS!B7</f>
        <v>0.107</v>
      </c>
      <c r="C16" s="21">
        <f>TABELAS!C7</f>
        <v>22500</v>
      </c>
      <c r="D16" s="22" t="e">
        <f>((C14*B16)-C16)/C14</f>
        <v>#DIV/0!</v>
      </c>
      <c r="E16" s="16" t="e">
        <f>D16</f>
        <v>#DIV/0!</v>
      </c>
      <c r="F16" s="16" t="e">
        <f>E16</f>
        <v>#DIV/0!</v>
      </c>
      <c r="G16" s="16" t="e">
        <f>F16</f>
        <v>#DIV/0!</v>
      </c>
      <c r="H16" s="16" t="e">
        <f>G16</f>
        <v>#DIV/0!</v>
      </c>
      <c r="I16" s="16" t="e">
        <f>H16</f>
        <v>#DIV/0!</v>
      </c>
      <c r="J16" s="52"/>
    </row>
    <row r="17" spans="1:10" x14ac:dyDescent="0.25">
      <c r="A17" s="52"/>
      <c r="B17" s="52"/>
      <c r="D17" s="16">
        <f>TABELAS!D25</f>
        <v>2.9600000000000001E-2</v>
      </c>
      <c r="E17" s="16">
        <f>TABELAS!E25</f>
        <v>0.13639999999999999</v>
      </c>
      <c r="F17" s="16">
        <f>TABELAS!F25</f>
        <v>0.04</v>
      </c>
      <c r="G17" s="16">
        <f>TABELAS!G25</f>
        <v>3.5000000000000003E-2</v>
      </c>
      <c r="H17" s="16">
        <f>TABELAS!H25</f>
        <v>0.434</v>
      </c>
      <c r="I17" s="16">
        <f>TABELAS!I25</f>
        <v>0.32500000000000001</v>
      </c>
      <c r="J17" s="52"/>
    </row>
    <row r="18" spans="1:10" ht="15.75" thickBot="1" x14ac:dyDescent="0.3">
      <c r="A18" s="52"/>
      <c r="B18" s="52"/>
      <c r="D18" s="23" t="e">
        <f t="shared" ref="D18:I18" si="2">D17*D16</f>
        <v>#DIV/0!</v>
      </c>
      <c r="E18" s="23" t="e">
        <f t="shared" si="2"/>
        <v>#DIV/0!</v>
      </c>
      <c r="F18" s="23" t="e">
        <f t="shared" si="2"/>
        <v>#DIV/0!</v>
      </c>
      <c r="G18" s="23" t="e">
        <f t="shared" si="2"/>
        <v>#DIV/0!</v>
      </c>
      <c r="H18" s="23" t="e">
        <f t="shared" si="2"/>
        <v>#DIV/0!</v>
      </c>
      <c r="I18" s="23" t="e">
        <f t="shared" si="2"/>
        <v>#DIV/0!</v>
      </c>
      <c r="J18" s="52"/>
    </row>
    <row r="19" spans="1:10" x14ac:dyDescent="0.25">
      <c r="A19" s="9">
        <v>44652</v>
      </c>
      <c r="B19" s="10">
        <v>0</v>
      </c>
      <c r="C19" s="64">
        <v>0</v>
      </c>
      <c r="D19" s="7" t="e">
        <f>B19*D23</f>
        <v>#DIV/0!</v>
      </c>
      <c r="E19" s="7" t="e">
        <f>B19*E23</f>
        <v>#DIV/0!</v>
      </c>
      <c r="F19" s="7" t="e">
        <f>B19*F23</f>
        <v>#DIV/0!</v>
      </c>
      <c r="G19" s="7" t="e">
        <f>B19*G23</f>
        <v>#DIV/0!</v>
      </c>
      <c r="H19" s="7" t="e">
        <f>B19*H23</f>
        <v>#DIV/0!</v>
      </c>
      <c r="I19" s="24" t="e">
        <f>B19*I23</f>
        <v>#DIV/0!</v>
      </c>
      <c r="J19" s="53" t="e">
        <f>SUM(D19:I19)</f>
        <v>#DIV/0!</v>
      </c>
    </row>
    <row r="20" spans="1:10" x14ac:dyDescent="0.25">
      <c r="A20" s="65" t="s">
        <v>48</v>
      </c>
      <c r="B20" s="65" t="s">
        <v>50</v>
      </c>
      <c r="C20" s="20" t="s">
        <v>51</v>
      </c>
      <c r="D20" s="20" t="s">
        <v>63</v>
      </c>
      <c r="E20" s="20" t="s">
        <v>63</v>
      </c>
      <c r="F20" s="20" t="s">
        <v>63</v>
      </c>
      <c r="G20" s="20" t="s">
        <v>63</v>
      </c>
      <c r="H20" s="20" t="s">
        <v>63</v>
      </c>
      <c r="I20" s="20" t="s">
        <v>63</v>
      </c>
      <c r="J20" s="52"/>
    </row>
    <row r="21" spans="1:10" x14ac:dyDescent="0.25">
      <c r="A21" s="65" t="str">
        <f>A16</f>
        <v>I</v>
      </c>
      <c r="B21" s="67">
        <f>TABELAS!B7</f>
        <v>0.107</v>
      </c>
      <c r="C21" s="21">
        <f>TABELAS!C7</f>
        <v>22500</v>
      </c>
      <c r="D21" s="22" t="e">
        <f>((C19*B21)-C21)/C19</f>
        <v>#DIV/0!</v>
      </c>
      <c r="E21" s="16" t="e">
        <f>D21</f>
        <v>#DIV/0!</v>
      </c>
      <c r="F21" s="16" t="e">
        <f>E21</f>
        <v>#DIV/0!</v>
      </c>
      <c r="G21" s="16" t="e">
        <f>F21</f>
        <v>#DIV/0!</v>
      </c>
      <c r="H21" s="16" t="e">
        <f>G21</f>
        <v>#DIV/0!</v>
      </c>
      <c r="I21" s="16" t="e">
        <f>H21</f>
        <v>#DIV/0!</v>
      </c>
      <c r="J21" s="52"/>
    </row>
    <row r="22" spans="1:10" x14ac:dyDescent="0.25">
      <c r="A22" s="52"/>
      <c r="B22" s="52"/>
      <c r="D22" s="16">
        <f>TABELAS!D25</f>
        <v>2.9600000000000001E-2</v>
      </c>
      <c r="E22" s="16">
        <f>TABELAS!E25</f>
        <v>0.13639999999999999</v>
      </c>
      <c r="F22" s="16">
        <f>TABELAS!F25</f>
        <v>0.04</v>
      </c>
      <c r="G22" s="16">
        <f>TABELAS!G25</f>
        <v>3.5000000000000003E-2</v>
      </c>
      <c r="H22" s="16">
        <f>TABELAS!H25</f>
        <v>0.434</v>
      </c>
      <c r="I22" s="16">
        <f>TABELAS!I25</f>
        <v>0.32500000000000001</v>
      </c>
      <c r="J22" s="52"/>
    </row>
    <row r="23" spans="1:10" ht="15.75" thickBot="1" x14ac:dyDescent="0.3">
      <c r="A23" s="52"/>
      <c r="B23" s="52"/>
      <c r="D23" s="23" t="e">
        <f t="shared" ref="D23:I23" si="3">D22*D21</f>
        <v>#DIV/0!</v>
      </c>
      <c r="E23" s="23" t="e">
        <f t="shared" si="3"/>
        <v>#DIV/0!</v>
      </c>
      <c r="F23" s="23" t="e">
        <f t="shared" si="3"/>
        <v>#DIV/0!</v>
      </c>
      <c r="G23" s="23" t="e">
        <f t="shared" si="3"/>
        <v>#DIV/0!</v>
      </c>
      <c r="H23" s="23" t="e">
        <f t="shared" si="3"/>
        <v>#DIV/0!</v>
      </c>
      <c r="I23" s="23" t="e">
        <f t="shared" si="3"/>
        <v>#DIV/0!</v>
      </c>
      <c r="J23" s="52"/>
    </row>
    <row r="24" spans="1:10" x14ac:dyDescent="0.25">
      <c r="A24" s="9">
        <v>44682</v>
      </c>
      <c r="B24" s="10">
        <v>0</v>
      </c>
      <c r="C24" s="64">
        <v>0</v>
      </c>
      <c r="D24" s="7" t="e">
        <f>B24*D28</f>
        <v>#DIV/0!</v>
      </c>
      <c r="E24" s="7" t="e">
        <f>B24*E28</f>
        <v>#DIV/0!</v>
      </c>
      <c r="F24" s="7" t="e">
        <f>B24*F28</f>
        <v>#DIV/0!</v>
      </c>
      <c r="G24" s="7" t="e">
        <f>B24*G28</f>
        <v>#DIV/0!</v>
      </c>
      <c r="H24" s="7" t="e">
        <f>B24*H28</f>
        <v>#DIV/0!</v>
      </c>
      <c r="I24" s="24" t="e">
        <f>B24*I28</f>
        <v>#DIV/0!</v>
      </c>
      <c r="J24" s="53" t="e">
        <f>SUM(D24:I24)</f>
        <v>#DIV/0!</v>
      </c>
    </row>
    <row r="25" spans="1:10" x14ac:dyDescent="0.25">
      <c r="A25" s="65" t="s">
        <v>48</v>
      </c>
      <c r="B25" s="65" t="s">
        <v>50</v>
      </c>
      <c r="C25" s="20" t="s">
        <v>51</v>
      </c>
      <c r="D25" s="20" t="s">
        <v>63</v>
      </c>
      <c r="E25" s="20" t="s">
        <v>63</v>
      </c>
      <c r="F25" s="20" t="s">
        <v>63</v>
      </c>
      <c r="G25" s="20" t="s">
        <v>63</v>
      </c>
      <c r="H25" s="20" t="s">
        <v>63</v>
      </c>
      <c r="I25" s="20" t="s">
        <v>63</v>
      </c>
      <c r="J25" s="52"/>
    </row>
    <row r="26" spans="1:10" x14ac:dyDescent="0.25">
      <c r="A26" s="65" t="s">
        <v>94</v>
      </c>
      <c r="B26" s="67">
        <f>TABELAS!B25</f>
        <v>0.13500000000000001</v>
      </c>
      <c r="C26" s="21">
        <f>TABELAS!C25</f>
        <v>17640</v>
      </c>
      <c r="D26" s="22" t="e">
        <f>((C24*B26)-C26)/C24</f>
        <v>#DIV/0!</v>
      </c>
      <c r="E26" s="16" t="e">
        <f>D26</f>
        <v>#DIV/0!</v>
      </c>
      <c r="F26" s="16" t="e">
        <f>E26</f>
        <v>#DIV/0!</v>
      </c>
      <c r="G26" s="16" t="e">
        <f>F26</f>
        <v>#DIV/0!</v>
      </c>
      <c r="H26" s="16" t="e">
        <f>G26</f>
        <v>#DIV/0!</v>
      </c>
      <c r="I26" s="16" t="e">
        <f>H26</f>
        <v>#DIV/0!</v>
      </c>
      <c r="J26" s="52"/>
    </row>
    <row r="27" spans="1:10" x14ac:dyDescent="0.25">
      <c r="A27" s="52"/>
      <c r="B27" s="52"/>
      <c r="D27" s="16">
        <f>TABELAS!D25</f>
        <v>2.9600000000000001E-2</v>
      </c>
      <c r="E27" s="16">
        <f>TABELAS!E25</f>
        <v>0.13639999999999999</v>
      </c>
      <c r="F27" s="16">
        <f>TABELAS!F25</f>
        <v>0.04</v>
      </c>
      <c r="G27" s="16">
        <f>TABELAS!G25</f>
        <v>3.5000000000000003E-2</v>
      </c>
      <c r="H27" s="16">
        <f>TABELAS!H25</f>
        <v>0.434</v>
      </c>
      <c r="I27" s="16">
        <f>TABELAS!I25</f>
        <v>0.32500000000000001</v>
      </c>
      <c r="J27" s="52"/>
    </row>
    <row r="28" spans="1:10" ht="15.75" thickBot="1" x14ac:dyDescent="0.3">
      <c r="A28" s="52"/>
      <c r="B28" s="52"/>
      <c r="D28" s="23" t="e">
        <f t="shared" ref="D28:I28" si="4">D27*D26</f>
        <v>#DIV/0!</v>
      </c>
      <c r="E28" s="23" t="e">
        <f t="shared" si="4"/>
        <v>#DIV/0!</v>
      </c>
      <c r="F28" s="23" t="e">
        <f t="shared" si="4"/>
        <v>#DIV/0!</v>
      </c>
      <c r="G28" s="23" t="e">
        <f t="shared" si="4"/>
        <v>#DIV/0!</v>
      </c>
      <c r="H28" s="23" t="e">
        <f t="shared" si="4"/>
        <v>#DIV/0!</v>
      </c>
      <c r="I28" s="23" t="e">
        <f t="shared" si="4"/>
        <v>#DIV/0!</v>
      </c>
      <c r="J28" s="52"/>
    </row>
    <row r="29" spans="1:10" x14ac:dyDescent="0.25">
      <c r="A29" s="9">
        <v>44713</v>
      </c>
      <c r="B29" s="10">
        <v>0</v>
      </c>
      <c r="C29" s="64">
        <v>0</v>
      </c>
      <c r="D29" s="7" t="e">
        <f>B29*D33</f>
        <v>#DIV/0!</v>
      </c>
      <c r="E29" s="7" t="e">
        <f>B29*E33</f>
        <v>#DIV/0!</v>
      </c>
      <c r="F29" s="7" t="e">
        <f>B29*F33</f>
        <v>#DIV/0!</v>
      </c>
      <c r="G29" s="7" t="e">
        <f>B29*G33</f>
        <v>#DIV/0!</v>
      </c>
      <c r="H29" s="7" t="e">
        <f>B29*H33</f>
        <v>#DIV/0!</v>
      </c>
      <c r="I29" s="24" t="e">
        <f>B29*I33</f>
        <v>#DIV/0!</v>
      </c>
      <c r="J29" s="53" t="e">
        <f>SUM(D29:I29)</f>
        <v>#DIV/0!</v>
      </c>
    </row>
    <row r="30" spans="1:10" x14ac:dyDescent="0.25">
      <c r="A30" s="65" t="s">
        <v>48</v>
      </c>
      <c r="B30" s="65" t="s">
        <v>50</v>
      </c>
      <c r="C30" s="20" t="s">
        <v>51</v>
      </c>
      <c r="D30" s="20" t="s">
        <v>63</v>
      </c>
      <c r="E30" s="20" t="s">
        <v>63</v>
      </c>
      <c r="F30" s="20" t="s">
        <v>63</v>
      </c>
      <c r="G30" s="20" t="s">
        <v>63</v>
      </c>
      <c r="H30" s="20" t="s">
        <v>63</v>
      </c>
      <c r="I30" s="20" t="s">
        <v>63</v>
      </c>
      <c r="J30" s="52"/>
    </row>
    <row r="31" spans="1:10" x14ac:dyDescent="0.25">
      <c r="A31" s="65" t="s">
        <v>94</v>
      </c>
      <c r="B31" s="67">
        <f>TABELAS!B25</f>
        <v>0.13500000000000001</v>
      </c>
      <c r="C31" s="21">
        <f>TABELAS!C25</f>
        <v>17640</v>
      </c>
      <c r="D31" s="22" t="e">
        <f>((C29*B31)-C31)/C29</f>
        <v>#DIV/0!</v>
      </c>
      <c r="E31" s="16" t="e">
        <f>D31</f>
        <v>#DIV/0!</v>
      </c>
      <c r="F31" s="16" t="e">
        <f>E31</f>
        <v>#DIV/0!</v>
      </c>
      <c r="G31" s="16" t="e">
        <f>F31</f>
        <v>#DIV/0!</v>
      </c>
      <c r="H31" s="16" t="e">
        <f>G31</f>
        <v>#DIV/0!</v>
      </c>
      <c r="I31" s="16" t="e">
        <f>H31</f>
        <v>#DIV/0!</v>
      </c>
      <c r="J31" s="52"/>
    </row>
    <row r="32" spans="1:10" x14ac:dyDescent="0.25">
      <c r="A32" s="52"/>
      <c r="B32" s="52"/>
      <c r="D32" s="16">
        <f>TABELAS!D25</f>
        <v>2.9600000000000001E-2</v>
      </c>
      <c r="E32" s="16">
        <f>TABELAS!E25</f>
        <v>0.13639999999999999</v>
      </c>
      <c r="F32" s="16">
        <f>TABELAS!F25</f>
        <v>0.04</v>
      </c>
      <c r="G32" s="16">
        <f>TABELAS!G25</f>
        <v>3.5000000000000003E-2</v>
      </c>
      <c r="H32" s="16">
        <f>TABELAS!H25</f>
        <v>0.434</v>
      </c>
      <c r="I32" s="16">
        <f>TABELAS!I25</f>
        <v>0.32500000000000001</v>
      </c>
      <c r="J32" s="52"/>
    </row>
    <row r="33" spans="1:10" ht="15.75" thickBot="1" x14ac:dyDescent="0.3">
      <c r="A33" s="52"/>
      <c r="B33" s="52"/>
      <c r="D33" s="23" t="e">
        <f t="shared" ref="D33:I33" si="5">D32*D31</f>
        <v>#DIV/0!</v>
      </c>
      <c r="E33" s="23" t="e">
        <f t="shared" si="5"/>
        <v>#DIV/0!</v>
      </c>
      <c r="F33" s="23" t="e">
        <f t="shared" si="5"/>
        <v>#DIV/0!</v>
      </c>
      <c r="G33" s="23" t="e">
        <f t="shared" si="5"/>
        <v>#DIV/0!</v>
      </c>
      <c r="H33" s="23" t="e">
        <f t="shared" si="5"/>
        <v>#DIV/0!</v>
      </c>
      <c r="I33" s="23" t="e">
        <f t="shared" si="5"/>
        <v>#DIV/0!</v>
      </c>
      <c r="J33" s="52"/>
    </row>
    <row r="34" spans="1:10" x14ac:dyDescent="0.25">
      <c r="A34" s="9">
        <v>44743</v>
      </c>
      <c r="B34" s="10">
        <v>0</v>
      </c>
      <c r="C34" s="64">
        <v>0</v>
      </c>
      <c r="D34" s="7" t="e">
        <f>B34*D38</f>
        <v>#DIV/0!</v>
      </c>
      <c r="E34" s="7" t="e">
        <f>B34*E38</f>
        <v>#DIV/0!</v>
      </c>
      <c r="F34" s="7" t="e">
        <f>B34*F38</f>
        <v>#DIV/0!</v>
      </c>
      <c r="G34" s="7" t="e">
        <f>B34*G38</f>
        <v>#DIV/0!</v>
      </c>
      <c r="H34" s="7" t="e">
        <f>B34*H38</f>
        <v>#DIV/0!</v>
      </c>
      <c r="I34" s="24" t="e">
        <f>B34*I38</f>
        <v>#DIV/0!</v>
      </c>
      <c r="J34" s="53" t="e">
        <f>SUM(D34:I34)</f>
        <v>#DIV/0!</v>
      </c>
    </row>
    <row r="35" spans="1:10" x14ac:dyDescent="0.25">
      <c r="A35" s="65" t="s">
        <v>48</v>
      </c>
      <c r="B35" s="65" t="s">
        <v>50</v>
      </c>
      <c r="C35" s="20" t="s">
        <v>51</v>
      </c>
      <c r="D35" s="20" t="s">
        <v>63</v>
      </c>
      <c r="E35" s="20" t="s">
        <v>63</v>
      </c>
      <c r="F35" s="20" t="s">
        <v>63</v>
      </c>
      <c r="G35" s="20" t="s">
        <v>63</v>
      </c>
      <c r="H35" s="20" t="s">
        <v>63</v>
      </c>
      <c r="I35" s="20" t="s">
        <v>63</v>
      </c>
      <c r="J35" s="52"/>
    </row>
    <row r="36" spans="1:10" x14ac:dyDescent="0.25">
      <c r="A36" s="65" t="s">
        <v>94</v>
      </c>
      <c r="B36" s="67">
        <f>TABELAS!B25</f>
        <v>0.13500000000000001</v>
      </c>
      <c r="C36" s="21">
        <f>TABELAS!C25</f>
        <v>17640</v>
      </c>
      <c r="D36" s="22" t="e">
        <f>((C34*B36)-C36)/C34</f>
        <v>#DIV/0!</v>
      </c>
      <c r="E36" s="16" t="e">
        <f>D36</f>
        <v>#DIV/0!</v>
      </c>
      <c r="F36" s="16" t="e">
        <f>E36</f>
        <v>#DIV/0!</v>
      </c>
      <c r="G36" s="16" t="e">
        <f>F36</f>
        <v>#DIV/0!</v>
      </c>
      <c r="H36" s="16" t="e">
        <f>G36</f>
        <v>#DIV/0!</v>
      </c>
      <c r="I36" s="16" t="e">
        <f>H36</f>
        <v>#DIV/0!</v>
      </c>
      <c r="J36" s="52"/>
    </row>
    <row r="37" spans="1:10" x14ac:dyDescent="0.25">
      <c r="A37" s="52"/>
      <c r="B37" s="52"/>
      <c r="D37" s="16">
        <f>TABELAS!D25</f>
        <v>2.9600000000000001E-2</v>
      </c>
      <c r="E37" s="16">
        <f>TABELAS!E25</f>
        <v>0.13639999999999999</v>
      </c>
      <c r="F37" s="16">
        <f>TABELAS!F25</f>
        <v>0.04</v>
      </c>
      <c r="G37" s="16">
        <f>TABELAS!G25</f>
        <v>3.5000000000000003E-2</v>
      </c>
      <c r="H37" s="16">
        <f>TABELAS!H25</f>
        <v>0.434</v>
      </c>
      <c r="I37" s="16">
        <f>TABELAS!I25</f>
        <v>0.32500000000000001</v>
      </c>
      <c r="J37" s="52"/>
    </row>
    <row r="38" spans="1:10" ht="15.75" thickBot="1" x14ac:dyDescent="0.3">
      <c r="A38" s="52"/>
      <c r="B38" s="52"/>
      <c r="D38" s="23" t="e">
        <f t="shared" ref="D38:I38" si="6">D37*D36</f>
        <v>#DIV/0!</v>
      </c>
      <c r="E38" s="23" t="e">
        <f t="shared" si="6"/>
        <v>#DIV/0!</v>
      </c>
      <c r="F38" s="23" t="e">
        <f t="shared" si="6"/>
        <v>#DIV/0!</v>
      </c>
      <c r="G38" s="23" t="e">
        <f t="shared" si="6"/>
        <v>#DIV/0!</v>
      </c>
      <c r="H38" s="23" t="e">
        <f t="shared" si="6"/>
        <v>#DIV/0!</v>
      </c>
      <c r="I38" s="23" t="e">
        <f t="shared" si="6"/>
        <v>#DIV/0!</v>
      </c>
      <c r="J38" s="52"/>
    </row>
    <row r="39" spans="1:10" x14ac:dyDescent="0.25">
      <c r="A39" s="9">
        <v>44774</v>
      </c>
      <c r="B39" s="10">
        <v>0</v>
      </c>
      <c r="C39" s="64">
        <v>0</v>
      </c>
      <c r="D39" s="7" t="e">
        <f>B39*D43</f>
        <v>#DIV/0!</v>
      </c>
      <c r="E39" s="7" t="e">
        <f>B39*E43</f>
        <v>#DIV/0!</v>
      </c>
      <c r="F39" s="7" t="e">
        <f>B39*F43</f>
        <v>#DIV/0!</v>
      </c>
      <c r="G39" s="7" t="e">
        <f>B39*G43</f>
        <v>#DIV/0!</v>
      </c>
      <c r="H39" s="7" t="e">
        <f>B39*H43</f>
        <v>#DIV/0!</v>
      </c>
      <c r="I39" s="24" t="e">
        <f>B39*I43</f>
        <v>#DIV/0!</v>
      </c>
      <c r="J39" s="53" t="e">
        <f>SUM(D39:I39)</f>
        <v>#DIV/0!</v>
      </c>
    </row>
    <row r="40" spans="1:10" x14ac:dyDescent="0.25">
      <c r="A40" s="65" t="s">
        <v>48</v>
      </c>
      <c r="B40" s="65" t="s">
        <v>50</v>
      </c>
      <c r="C40" s="20" t="s">
        <v>51</v>
      </c>
      <c r="D40" s="20" t="s">
        <v>63</v>
      </c>
      <c r="E40" s="20" t="s">
        <v>63</v>
      </c>
      <c r="F40" s="20" t="s">
        <v>63</v>
      </c>
      <c r="G40" s="20" t="s">
        <v>63</v>
      </c>
      <c r="H40" s="20" t="s">
        <v>63</v>
      </c>
      <c r="I40" s="20" t="s">
        <v>63</v>
      </c>
      <c r="J40" s="52"/>
    </row>
    <row r="41" spans="1:10" x14ac:dyDescent="0.25">
      <c r="A41" s="65" t="str">
        <f>A6</f>
        <v>I</v>
      </c>
      <c r="B41" s="67">
        <f>TABELAS!B25</f>
        <v>0.13500000000000001</v>
      </c>
      <c r="C41" s="21">
        <f>TABELAS!C25</f>
        <v>17640</v>
      </c>
      <c r="D41" s="22" t="e">
        <f>((C39*B41)-C41)/C39</f>
        <v>#DIV/0!</v>
      </c>
      <c r="E41" s="16" t="e">
        <f>D41</f>
        <v>#DIV/0!</v>
      </c>
      <c r="F41" s="16" t="e">
        <f>E41</f>
        <v>#DIV/0!</v>
      </c>
      <c r="G41" s="16" t="e">
        <f>F41</f>
        <v>#DIV/0!</v>
      </c>
      <c r="H41" s="16" t="e">
        <f>G41</f>
        <v>#DIV/0!</v>
      </c>
      <c r="I41" s="16" t="e">
        <f>H41</f>
        <v>#DIV/0!</v>
      </c>
      <c r="J41" s="52"/>
    </row>
    <row r="42" spans="1:10" x14ac:dyDescent="0.25">
      <c r="A42" s="52"/>
      <c r="B42" s="52"/>
      <c r="D42" s="16">
        <f>TABELAS!D25</f>
        <v>2.9600000000000001E-2</v>
      </c>
      <c r="E42" s="16">
        <f>TABELAS!E25</f>
        <v>0.13639999999999999</v>
      </c>
      <c r="F42" s="16">
        <f>TABELAS!F25</f>
        <v>0.04</v>
      </c>
      <c r="G42" s="16">
        <f>TABELAS!G25</f>
        <v>3.5000000000000003E-2</v>
      </c>
      <c r="H42" s="16">
        <f>TABELAS!H25</f>
        <v>0.434</v>
      </c>
      <c r="I42" s="16">
        <f>TABELAS!I25</f>
        <v>0.32500000000000001</v>
      </c>
      <c r="J42" s="52"/>
    </row>
    <row r="43" spans="1:10" ht="15.75" thickBot="1" x14ac:dyDescent="0.3">
      <c r="A43" s="52"/>
      <c r="B43" s="52"/>
      <c r="D43" s="23" t="e">
        <f t="shared" ref="D43:I43" si="7">D42*D41</f>
        <v>#DIV/0!</v>
      </c>
      <c r="E43" s="23" t="e">
        <f t="shared" si="7"/>
        <v>#DIV/0!</v>
      </c>
      <c r="F43" s="23" t="e">
        <f t="shared" si="7"/>
        <v>#DIV/0!</v>
      </c>
      <c r="G43" s="23" t="e">
        <f t="shared" si="7"/>
        <v>#DIV/0!</v>
      </c>
      <c r="H43" s="23" t="e">
        <f t="shared" si="7"/>
        <v>#DIV/0!</v>
      </c>
      <c r="I43" s="23" t="e">
        <f t="shared" si="7"/>
        <v>#DIV/0!</v>
      </c>
      <c r="J43" s="52"/>
    </row>
    <row r="44" spans="1:10" x14ac:dyDescent="0.25">
      <c r="A44" s="9">
        <v>44805</v>
      </c>
      <c r="B44" s="10">
        <v>0</v>
      </c>
      <c r="C44" s="64">
        <v>0</v>
      </c>
      <c r="D44" s="7" t="e">
        <f>B44*D48</f>
        <v>#DIV/0!</v>
      </c>
      <c r="E44" s="7" t="e">
        <f>B44*E48</f>
        <v>#DIV/0!</v>
      </c>
      <c r="F44" s="7" t="e">
        <f>B44*F48</f>
        <v>#DIV/0!</v>
      </c>
      <c r="G44" s="7" t="e">
        <f>B44*G48</f>
        <v>#DIV/0!</v>
      </c>
      <c r="H44" s="7" t="e">
        <f>B44*H48</f>
        <v>#DIV/0!</v>
      </c>
      <c r="I44" s="24" t="e">
        <f>B44*I48</f>
        <v>#DIV/0!</v>
      </c>
      <c r="J44" s="53" t="e">
        <f>SUM(D44:I44)</f>
        <v>#DIV/0!</v>
      </c>
    </row>
    <row r="45" spans="1:10" x14ac:dyDescent="0.25">
      <c r="A45" s="65" t="s">
        <v>48</v>
      </c>
      <c r="B45" s="65" t="s">
        <v>50</v>
      </c>
      <c r="C45" s="20" t="s">
        <v>51</v>
      </c>
      <c r="D45" s="20" t="s">
        <v>63</v>
      </c>
      <c r="E45" s="20" t="s">
        <v>63</v>
      </c>
      <c r="F45" s="20" t="s">
        <v>63</v>
      </c>
      <c r="G45" s="20" t="s">
        <v>63</v>
      </c>
      <c r="H45" s="20" t="s">
        <v>63</v>
      </c>
      <c r="I45" s="20" t="s">
        <v>63</v>
      </c>
      <c r="J45" s="52"/>
    </row>
    <row r="46" spans="1:10" x14ac:dyDescent="0.25">
      <c r="A46" s="65" t="s">
        <v>94</v>
      </c>
      <c r="B46" s="67">
        <f>TABELAS!B25</f>
        <v>0.13500000000000001</v>
      </c>
      <c r="C46" s="21">
        <f>TABELAS!C25</f>
        <v>17640</v>
      </c>
      <c r="D46" s="22" t="e">
        <f>((C44*B46)-C46)/C44</f>
        <v>#DIV/0!</v>
      </c>
      <c r="E46" s="16" t="e">
        <f>D46</f>
        <v>#DIV/0!</v>
      </c>
      <c r="F46" s="16" t="e">
        <f>E46</f>
        <v>#DIV/0!</v>
      </c>
      <c r="G46" s="16" t="e">
        <f>F46</f>
        <v>#DIV/0!</v>
      </c>
      <c r="H46" s="16" t="e">
        <f>G46</f>
        <v>#DIV/0!</v>
      </c>
      <c r="I46" s="16" t="e">
        <f>H46</f>
        <v>#DIV/0!</v>
      </c>
      <c r="J46" s="52"/>
    </row>
    <row r="47" spans="1:10" x14ac:dyDescent="0.25">
      <c r="A47" s="52"/>
      <c r="B47" s="52"/>
      <c r="D47" s="16">
        <f>TABELAS!D25</f>
        <v>2.9600000000000001E-2</v>
      </c>
      <c r="E47" s="16">
        <f>TABELAS!E25</f>
        <v>0.13639999999999999</v>
      </c>
      <c r="F47" s="16">
        <f>TABELAS!F25</f>
        <v>0.04</v>
      </c>
      <c r="G47" s="16">
        <f>TABELAS!G25</f>
        <v>3.5000000000000003E-2</v>
      </c>
      <c r="H47" s="16">
        <f>TABELAS!H25</f>
        <v>0.434</v>
      </c>
      <c r="I47" s="16">
        <f>TABELAS!I25</f>
        <v>0.32500000000000001</v>
      </c>
      <c r="J47" s="52"/>
    </row>
    <row r="48" spans="1:10" ht="15.75" thickBot="1" x14ac:dyDescent="0.3">
      <c r="A48" s="52"/>
      <c r="B48" s="52"/>
      <c r="D48" s="23" t="e">
        <f t="shared" ref="D48:I48" si="8">D47*D46</f>
        <v>#DIV/0!</v>
      </c>
      <c r="E48" s="23" t="e">
        <f t="shared" si="8"/>
        <v>#DIV/0!</v>
      </c>
      <c r="F48" s="23" t="e">
        <f t="shared" si="8"/>
        <v>#DIV/0!</v>
      </c>
      <c r="G48" s="23" t="e">
        <f t="shared" si="8"/>
        <v>#DIV/0!</v>
      </c>
      <c r="H48" s="23" t="e">
        <f t="shared" si="8"/>
        <v>#DIV/0!</v>
      </c>
      <c r="I48" s="23" t="e">
        <f t="shared" si="8"/>
        <v>#DIV/0!</v>
      </c>
      <c r="J48" s="52"/>
    </row>
    <row r="49" spans="1:10" x14ac:dyDescent="0.25">
      <c r="A49" s="9">
        <v>44835</v>
      </c>
      <c r="B49" s="10">
        <v>0</v>
      </c>
      <c r="C49" s="64">
        <v>0</v>
      </c>
      <c r="D49" s="7" t="e">
        <f>B49*D53</f>
        <v>#DIV/0!</v>
      </c>
      <c r="E49" s="7" t="e">
        <f>B49*E53</f>
        <v>#DIV/0!</v>
      </c>
      <c r="F49" s="7" t="e">
        <f>B49*F53</f>
        <v>#DIV/0!</v>
      </c>
      <c r="G49" s="7" t="e">
        <f>B49*G53</f>
        <v>#DIV/0!</v>
      </c>
      <c r="H49" s="7" t="e">
        <f>B49*H53</f>
        <v>#DIV/0!</v>
      </c>
      <c r="I49" s="24" t="e">
        <f>B49*I53</f>
        <v>#DIV/0!</v>
      </c>
      <c r="J49" s="53" t="e">
        <f>SUM(D49:I49)</f>
        <v>#DIV/0!</v>
      </c>
    </row>
    <row r="50" spans="1:10" x14ac:dyDescent="0.25">
      <c r="A50" s="65" t="s">
        <v>48</v>
      </c>
      <c r="B50" s="65" t="s">
        <v>50</v>
      </c>
      <c r="C50" s="20" t="s">
        <v>51</v>
      </c>
      <c r="D50" s="20" t="s">
        <v>63</v>
      </c>
      <c r="E50" s="20" t="s">
        <v>63</v>
      </c>
      <c r="F50" s="20" t="s">
        <v>63</v>
      </c>
      <c r="G50" s="20" t="s">
        <v>63</v>
      </c>
      <c r="H50" s="20" t="s">
        <v>63</v>
      </c>
      <c r="I50" s="20" t="s">
        <v>63</v>
      </c>
      <c r="J50" s="52"/>
    </row>
    <row r="51" spans="1:10" x14ac:dyDescent="0.25">
      <c r="A51" s="65" t="s">
        <v>94</v>
      </c>
      <c r="B51" s="67">
        <f>TABELAS!B25</f>
        <v>0.13500000000000001</v>
      </c>
      <c r="C51" s="21">
        <f>TABELAS!C25</f>
        <v>17640</v>
      </c>
      <c r="D51" s="22" t="e">
        <f>((C49*B51)-C51)/C49</f>
        <v>#DIV/0!</v>
      </c>
      <c r="E51" s="16" t="e">
        <f>D51</f>
        <v>#DIV/0!</v>
      </c>
      <c r="F51" s="16" t="e">
        <f>E51</f>
        <v>#DIV/0!</v>
      </c>
      <c r="G51" s="16" t="e">
        <f>F51</f>
        <v>#DIV/0!</v>
      </c>
      <c r="H51" s="16" t="e">
        <f>G51</f>
        <v>#DIV/0!</v>
      </c>
      <c r="I51" s="16" t="e">
        <f>H51</f>
        <v>#DIV/0!</v>
      </c>
      <c r="J51" s="52"/>
    </row>
    <row r="52" spans="1:10" x14ac:dyDescent="0.25">
      <c r="A52" s="52"/>
      <c r="B52" s="52"/>
      <c r="D52" s="16">
        <f>TABELAS!D25</f>
        <v>2.9600000000000001E-2</v>
      </c>
      <c r="E52" s="16">
        <f>TABELAS!E25</f>
        <v>0.13639999999999999</v>
      </c>
      <c r="F52" s="16">
        <f>TABELAS!F25</f>
        <v>0.04</v>
      </c>
      <c r="G52" s="16">
        <f>TABELAS!G25</f>
        <v>3.5000000000000003E-2</v>
      </c>
      <c r="H52" s="16">
        <f>TABELAS!H25</f>
        <v>0.434</v>
      </c>
      <c r="I52" s="16">
        <f>TABELAS!I25</f>
        <v>0.32500000000000001</v>
      </c>
      <c r="J52" s="52"/>
    </row>
    <row r="53" spans="1:10" ht="15.75" thickBot="1" x14ac:dyDescent="0.3">
      <c r="A53" s="52"/>
      <c r="B53" s="52"/>
      <c r="D53" s="23" t="e">
        <f t="shared" ref="D53:I53" si="9">D52*D51</f>
        <v>#DIV/0!</v>
      </c>
      <c r="E53" s="23" t="e">
        <f t="shared" si="9"/>
        <v>#DIV/0!</v>
      </c>
      <c r="F53" s="23" t="e">
        <f t="shared" si="9"/>
        <v>#DIV/0!</v>
      </c>
      <c r="G53" s="23" t="e">
        <f t="shared" si="9"/>
        <v>#DIV/0!</v>
      </c>
      <c r="H53" s="23" t="e">
        <f t="shared" si="9"/>
        <v>#DIV/0!</v>
      </c>
      <c r="I53" s="23" t="e">
        <f t="shared" si="9"/>
        <v>#DIV/0!</v>
      </c>
      <c r="J53" s="52"/>
    </row>
    <row r="54" spans="1:10" x14ac:dyDescent="0.25">
      <c r="A54" s="130">
        <v>44866</v>
      </c>
      <c r="B54" s="119">
        <f>RBT!E15</f>
        <v>433796.09</v>
      </c>
      <c r="C54" s="120">
        <f>RBT!E28</f>
        <v>4695422.1400000006</v>
      </c>
      <c r="D54" s="121">
        <f>B54*D58</f>
        <v>2888.355621318452</v>
      </c>
      <c r="E54" s="121">
        <f>B54*E58</f>
        <v>13334.787185646421</v>
      </c>
      <c r="F54" s="121">
        <f>B54*F58</f>
        <v>5407.7142689882912</v>
      </c>
      <c r="G54" s="121">
        <f>B54*G58</f>
        <v>4771.5125902837863</v>
      </c>
      <c r="H54" s="121">
        <f>B54*H58</f>
        <v>14950.739449555862</v>
      </c>
      <c r="I54" s="122">
        <f>B54*I58</f>
        <v>0</v>
      </c>
      <c r="J54" s="131">
        <f>SUM(D54:I54)</f>
        <v>41353.109115792817</v>
      </c>
    </row>
    <row r="55" spans="1:10" x14ac:dyDescent="0.25">
      <c r="A55" s="132" t="s">
        <v>48</v>
      </c>
      <c r="B55" s="132" t="s">
        <v>50</v>
      </c>
      <c r="C55" s="123" t="s">
        <v>51</v>
      </c>
      <c r="D55" s="123" t="s">
        <v>63</v>
      </c>
      <c r="E55" s="123" t="s">
        <v>63</v>
      </c>
      <c r="F55" s="123" t="s">
        <v>63</v>
      </c>
      <c r="G55" s="123" t="s">
        <v>63</v>
      </c>
      <c r="H55" s="123" t="s">
        <v>63</v>
      </c>
      <c r="I55" s="123" t="s">
        <v>63</v>
      </c>
      <c r="J55" s="133"/>
    </row>
    <row r="56" spans="1:10" x14ac:dyDescent="0.25">
      <c r="A56" s="132" t="s">
        <v>94</v>
      </c>
      <c r="B56" s="134">
        <v>0.3</v>
      </c>
      <c r="C56" s="125">
        <v>720000</v>
      </c>
      <c r="D56" s="126">
        <f>((C54*B56)-C56)/C54</f>
        <v>0.14665915469743049</v>
      </c>
      <c r="E56" s="127">
        <f>D56</f>
        <v>0.14665915469743049</v>
      </c>
      <c r="F56" s="127">
        <f>E56</f>
        <v>0.14665915469743049</v>
      </c>
      <c r="G56" s="127">
        <f>F56</f>
        <v>0.14665915469743049</v>
      </c>
      <c r="H56" s="127">
        <f>G56</f>
        <v>0.14665915469743049</v>
      </c>
      <c r="I56" s="127">
        <f>H56</f>
        <v>0.14665915469743049</v>
      </c>
      <c r="J56" s="133"/>
    </row>
    <row r="57" spans="1:10" x14ac:dyDescent="0.25">
      <c r="A57" s="133"/>
      <c r="B57" s="133"/>
      <c r="C57" s="124"/>
      <c r="D57" s="127">
        <v>4.5400000000000003E-2</v>
      </c>
      <c r="E57" s="127">
        <v>0.20960000000000001</v>
      </c>
      <c r="F57" s="127">
        <v>8.5000000000000006E-2</v>
      </c>
      <c r="G57" s="127">
        <v>7.4999999999999997E-2</v>
      </c>
      <c r="H57" s="127">
        <v>0.23499999999999999</v>
      </c>
      <c r="I57" s="127">
        <v>0</v>
      </c>
      <c r="J57" s="133"/>
    </row>
    <row r="58" spans="1:10" ht="15.75" thickBot="1" x14ac:dyDescent="0.3">
      <c r="A58" s="133"/>
      <c r="B58" s="133"/>
      <c r="C58" s="124"/>
      <c r="D58" s="128">
        <f t="shared" ref="D58:I58" si="10">D57*D56</f>
        <v>6.6583256232633442E-3</v>
      </c>
      <c r="E58" s="128">
        <f t="shared" si="10"/>
        <v>3.073975882458143E-2</v>
      </c>
      <c r="F58" s="128">
        <f t="shared" si="10"/>
        <v>1.2466028149281593E-2</v>
      </c>
      <c r="G58" s="128">
        <f t="shared" si="10"/>
        <v>1.0999436602307287E-2</v>
      </c>
      <c r="H58" s="128">
        <f t="shared" si="10"/>
        <v>3.4464901353896162E-2</v>
      </c>
      <c r="I58" s="128">
        <f t="shared" si="10"/>
        <v>0</v>
      </c>
      <c r="J58" s="133"/>
    </row>
    <row r="59" spans="1:10" ht="15.75" thickBot="1" x14ac:dyDescent="0.3">
      <c r="A59" s="66">
        <v>44896</v>
      </c>
      <c r="B59" s="10">
        <v>0</v>
      </c>
      <c r="C59" s="64">
        <v>0</v>
      </c>
      <c r="D59" s="7" t="e">
        <f>B59*D63</f>
        <v>#DIV/0!</v>
      </c>
      <c r="E59" s="7" t="e">
        <f>B59*E63</f>
        <v>#DIV/0!</v>
      </c>
      <c r="F59" s="7" t="e">
        <f>B59*F63</f>
        <v>#DIV/0!</v>
      </c>
      <c r="G59" s="7" t="e">
        <f>B59*G63</f>
        <v>#DIV/0!</v>
      </c>
      <c r="H59" s="7" t="e">
        <f>B59*H63</f>
        <v>#DIV/0!</v>
      </c>
      <c r="I59" s="24" t="e">
        <f>B59*I63</f>
        <v>#DIV/0!</v>
      </c>
      <c r="J59" s="54" t="e">
        <f>SUM(D59:I59)</f>
        <v>#DIV/0!</v>
      </c>
    </row>
    <row r="60" spans="1:10" x14ac:dyDescent="0.25">
      <c r="A60" s="20" t="s">
        <v>48</v>
      </c>
      <c r="B60" s="20" t="s">
        <v>50</v>
      </c>
      <c r="C60" s="20" t="s">
        <v>51</v>
      </c>
      <c r="D60" s="20" t="s">
        <v>63</v>
      </c>
      <c r="E60" s="20" t="s">
        <v>63</v>
      </c>
      <c r="F60" s="20" t="s">
        <v>63</v>
      </c>
      <c r="G60" s="20" t="s">
        <v>63</v>
      </c>
      <c r="H60" s="20" t="s">
        <v>63</v>
      </c>
      <c r="I60" s="20" t="s">
        <v>63</v>
      </c>
    </row>
    <row r="61" spans="1:10" x14ac:dyDescent="0.25">
      <c r="A61" s="20" t="s">
        <v>94</v>
      </c>
      <c r="B61" s="25">
        <f>TABELAS!B25</f>
        <v>0.13500000000000001</v>
      </c>
      <c r="C61" s="21">
        <f>TABELAS!C25</f>
        <v>17640</v>
      </c>
      <c r="D61" s="22" t="e">
        <f>((C59*B61)-C61)/C59</f>
        <v>#DIV/0!</v>
      </c>
      <c r="E61" s="16" t="e">
        <f>D61</f>
        <v>#DIV/0!</v>
      </c>
      <c r="F61" s="16" t="e">
        <f>E61</f>
        <v>#DIV/0!</v>
      </c>
      <c r="G61" s="16" t="e">
        <f>F61</f>
        <v>#DIV/0!</v>
      </c>
      <c r="H61" s="16" t="e">
        <f>G61</f>
        <v>#DIV/0!</v>
      </c>
      <c r="I61" s="16" t="e">
        <f>H61</f>
        <v>#DIV/0!</v>
      </c>
    </row>
    <row r="62" spans="1:10" x14ac:dyDescent="0.25">
      <c r="D62" s="16">
        <f>TABELAS!D25</f>
        <v>2.9600000000000001E-2</v>
      </c>
      <c r="E62" s="16">
        <f>TABELAS!E25</f>
        <v>0.13639999999999999</v>
      </c>
      <c r="F62" s="16">
        <f>TABELAS!F25</f>
        <v>0.04</v>
      </c>
      <c r="G62" s="16">
        <f>TABELAS!G25</f>
        <v>3.5000000000000003E-2</v>
      </c>
      <c r="H62" s="16">
        <f>TABELAS!H25</f>
        <v>0.434</v>
      </c>
      <c r="I62" s="16">
        <f>TABELAS!I25</f>
        <v>0.32500000000000001</v>
      </c>
    </row>
    <row r="63" spans="1:10" ht="15.75" thickBot="1" x14ac:dyDescent="0.3">
      <c r="D63" s="23" t="e">
        <f t="shared" ref="D63:I63" si="11">D62*D61</f>
        <v>#DIV/0!</v>
      </c>
      <c r="E63" s="23" t="e">
        <f t="shared" si="11"/>
        <v>#DIV/0!</v>
      </c>
      <c r="F63" s="23" t="e">
        <f t="shared" si="11"/>
        <v>#DIV/0!</v>
      </c>
      <c r="G63" s="23" t="e">
        <f t="shared" si="11"/>
        <v>#DIV/0!</v>
      </c>
      <c r="H63" s="23" t="e">
        <f t="shared" si="11"/>
        <v>#DIV/0!</v>
      </c>
      <c r="I63" s="23" t="e">
        <f t="shared" si="11"/>
        <v>#DIV/0!</v>
      </c>
    </row>
    <row r="64" spans="1:10" x14ac:dyDescent="0.25">
      <c r="A64" s="55"/>
      <c r="C64" s="56"/>
      <c r="D64" s="57"/>
      <c r="E64" s="57"/>
      <c r="F64" s="57"/>
      <c r="G64" s="57"/>
      <c r="H64" s="57"/>
      <c r="I64" s="57"/>
      <c r="J64" s="56"/>
    </row>
    <row r="65" spans="1:10" x14ac:dyDescent="0.25">
      <c r="A65" s="61" t="s">
        <v>69</v>
      </c>
      <c r="B65" s="60">
        <f>B4+B9+B14+B19+B24+B29+B34+B39+B44+B49+B54+B59</f>
        <v>433796.09</v>
      </c>
      <c r="C65" s="59"/>
      <c r="D65" s="59"/>
      <c r="E65" s="59"/>
      <c r="F65" s="59"/>
      <c r="G65" s="59"/>
      <c r="H65" s="59"/>
      <c r="I65" s="59"/>
      <c r="J65" s="60" t="e">
        <f>J4+J9+J14+J19+J24+J29+J34+J39+J44+J49+J54+J59</f>
        <v>#DIV/0!</v>
      </c>
    </row>
  </sheetData>
  <mergeCells count="2">
    <mergeCell ref="A1:J1"/>
    <mergeCell ref="B2:J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273DB-72A2-47D6-801B-DDF15DD281D7}">
  <dimension ref="A1:J74"/>
  <sheetViews>
    <sheetView tabSelected="1" zoomScaleNormal="100" workbookViewId="0">
      <selection activeCell="B9" sqref="B9"/>
    </sheetView>
  </sheetViews>
  <sheetFormatPr defaultRowHeight="15" x14ac:dyDescent="0.25"/>
  <cols>
    <col min="1" max="1" width="22" customWidth="1"/>
    <col min="2" max="2" width="21" style="236" customWidth="1"/>
    <col min="3" max="3" width="22.85546875" style="224" customWidth="1"/>
    <col min="4" max="4" width="15.85546875" style="224" bestFit="1" customWidth="1"/>
    <col min="5" max="5" width="16.28515625" style="224" bestFit="1" customWidth="1"/>
    <col min="6" max="7" width="15.7109375" style="224" bestFit="1" customWidth="1"/>
    <col min="8" max="8" width="16.28515625" style="224" bestFit="1" customWidth="1"/>
    <col min="9" max="9" width="15.7109375" style="224" customWidth="1"/>
    <col min="10" max="10" width="15.140625" customWidth="1"/>
  </cols>
  <sheetData>
    <row r="1" spans="1:10" x14ac:dyDescent="0.25">
      <c r="A1" s="284"/>
      <c r="B1" s="285"/>
      <c r="C1" s="285"/>
      <c r="D1" s="285"/>
      <c r="E1" s="285"/>
      <c r="F1" s="285"/>
      <c r="G1" s="285"/>
      <c r="H1" s="285"/>
      <c r="I1" s="285"/>
      <c r="J1" s="286"/>
    </row>
    <row r="2" spans="1:10" x14ac:dyDescent="0.25">
      <c r="A2" s="287"/>
      <c r="B2" s="288"/>
      <c r="C2" s="288"/>
      <c r="D2" s="288"/>
      <c r="E2" s="288"/>
      <c r="F2" s="288"/>
      <c r="G2" s="288"/>
      <c r="H2" s="288"/>
      <c r="I2" s="288"/>
      <c r="J2" s="289"/>
    </row>
    <row r="3" spans="1:10" x14ac:dyDescent="0.25">
      <c r="A3" s="287"/>
      <c r="B3" s="288"/>
      <c r="C3" s="288"/>
      <c r="D3" s="288"/>
      <c r="E3" s="288"/>
      <c r="F3" s="288"/>
      <c r="G3" s="288"/>
      <c r="H3" s="288"/>
      <c r="I3" s="288"/>
      <c r="J3" s="289"/>
    </row>
    <row r="4" spans="1:10" ht="15.75" thickBot="1" x14ac:dyDescent="0.3">
      <c r="A4" s="290"/>
      <c r="B4" s="291"/>
      <c r="C4" s="291"/>
      <c r="D4" s="291"/>
      <c r="E4" s="291"/>
      <c r="F4" s="291"/>
      <c r="G4" s="291"/>
      <c r="H4" s="291"/>
      <c r="I4" s="291"/>
      <c r="J4" s="292"/>
    </row>
    <row r="5" spans="1:10" ht="25.9" customHeight="1" thickBot="1" x14ac:dyDescent="0.3">
      <c r="A5" s="274" t="s">
        <v>68</v>
      </c>
      <c r="B5" s="275"/>
      <c r="C5" s="275"/>
      <c r="D5" s="275"/>
      <c r="E5" s="276"/>
      <c r="F5" s="276"/>
      <c r="G5" s="276"/>
      <c r="H5" s="276"/>
      <c r="I5" s="276"/>
      <c r="J5" s="277"/>
    </row>
    <row r="6" spans="1:10" ht="16.5" thickBot="1" x14ac:dyDescent="0.3">
      <c r="A6" s="264" t="s">
        <v>66</v>
      </c>
      <c r="B6" s="278" t="s">
        <v>70</v>
      </c>
      <c r="C6" s="279"/>
      <c r="D6" s="279"/>
      <c r="E6" s="280"/>
      <c r="F6" s="280"/>
      <c r="G6" s="280"/>
      <c r="H6" s="280"/>
      <c r="I6" s="280"/>
      <c r="J6" s="281"/>
    </row>
    <row r="7" spans="1:10" ht="16.5" thickBot="1" x14ac:dyDescent="0.3">
      <c r="A7" s="211" t="s">
        <v>5</v>
      </c>
      <c r="B7" s="225" t="s">
        <v>6</v>
      </c>
      <c r="C7" s="205" t="s">
        <v>7</v>
      </c>
      <c r="D7" s="206" t="s">
        <v>8</v>
      </c>
      <c r="E7" s="206" t="s">
        <v>9</v>
      </c>
      <c r="F7" s="206" t="s">
        <v>10</v>
      </c>
      <c r="G7" s="206" t="s">
        <v>11</v>
      </c>
      <c r="H7" s="206" t="s">
        <v>64</v>
      </c>
      <c r="I7" s="206" t="s">
        <v>12</v>
      </c>
      <c r="J7" s="222" t="s">
        <v>67</v>
      </c>
    </row>
    <row r="8" spans="1:10" x14ac:dyDescent="0.25">
      <c r="A8" s="212">
        <v>45261</v>
      </c>
      <c r="B8" s="226">
        <v>0</v>
      </c>
      <c r="C8" s="207">
        <v>309185.84999999998</v>
      </c>
      <c r="D8" s="208">
        <f>B8*D12</f>
        <v>0</v>
      </c>
      <c r="E8" s="208">
        <f>B8*E12</f>
        <v>0</v>
      </c>
      <c r="F8" s="208">
        <f>B8*F12</f>
        <v>0</v>
      </c>
      <c r="G8" s="208">
        <f>B8*G12</f>
        <v>0</v>
      </c>
      <c r="H8" s="208">
        <f>B8*H12</f>
        <v>0</v>
      </c>
      <c r="I8" s="208">
        <f>B8*I12</f>
        <v>0</v>
      </c>
      <c r="J8" s="237">
        <f>SUM(D8:I8)</f>
        <v>0</v>
      </c>
    </row>
    <row r="9" spans="1:10" x14ac:dyDescent="0.25">
      <c r="A9" s="213" t="s">
        <v>48</v>
      </c>
      <c r="B9" s="213" t="s">
        <v>50</v>
      </c>
      <c r="C9" s="240" t="s">
        <v>51</v>
      </c>
      <c r="D9" s="240" t="s">
        <v>63</v>
      </c>
      <c r="E9" s="240" t="s">
        <v>63</v>
      </c>
      <c r="F9" s="240" t="s">
        <v>63</v>
      </c>
      <c r="G9" s="240" t="s">
        <v>63</v>
      </c>
      <c r="H9" s="240" t="s">
        <v>63</v>
      </c>
      <c r="I9" s="240" t="s">
        <v>63</v>
      </c>
      <c r="J9" s="187"/>
    </row>
    <row r="10" spans="1:10" x14ac:dyDescent="0.25">
      <c r="A10" s="213" t="s">
        <v>92</v>
      </c>
      <c r="B10" s="209">
        <f>TABELAS!B5</f>
        <v>7.2999999999999995E-2</v>
      </c>
      <c r="C10" s="241">
        <f>TABELAS!C5</f>
        <v>5940</v>
      </c>
      <c r="D10" s="251">
        <f>((C8*B10)-C10)/C8</f>
        <v>5.3788254054964027E-2</v>
      </c>
      <c r="E10" s="263">
        <f>D10</f>
        <v>5.3788254054964027E-2</v>
      </c>
      <c r="F10" s="263">
        <f>E10</f>
        <v>5.3788254054964027E-2</v>
      </c>
      <c r="G10" s="263">
        <f>F10</f>
        <v>5.3788254054964027E-2</v>
      </c>
      <c r="H10" s="263">
        <f>G10</f>
        <v>5.3788254054964027E-2</v>
      </c>
      <c r="I10" s="263">
        <f>H10</f>
        <v>5.3788254054964027E-2</v>
      </c>
      <c r="J10" s="187"/>
    </row>
    <row r="11" spans="1:10" x14ac:dyDescent="0.25">
      <c r="A11" s="210"/>
      <c r="B11" s="210"/>
      <c r="C11" s="52"/>
      <c r="D11" s="252">
        <f>TABELAS!D5</f>
        <v>2.76E-2</v>
      </c>
      <c r="E11" s="252">
        <f>TABELAS!E5</f>
        <v>0.12740000000000001</v>
      </c>
      <c r="F11" s="252">
        <f>TABELAS!F5</f>
        <v>5.5E-2</v>
      </c>
      <c r="G11" s="252">
        <f>TABELAS!G5</f>
        <v>3.5000000000000003E-2</v>
      </c>
      <c r="H11" s="252">
        <f>TABELAS!H5</f>
        <v>0.41499999999999998</v>
      </c>
      <c r="I11" s="252">
        <f>TABELAS!I5</f>
        <v>0.34</v>
      </c>
      <c r="J11" s="187"/>
    </row>
    <row r="12" spans="1:10" x14ac:dyDescent="0.25">
      <c r="A12" s="210"/>
      <c r="B12" s="210"/>
      <c r="C12" s="52"/>
      <c r="D12" s="253">
        <f t="shared" ref="D12:I12" si="0">D11*D10</f>
        <v>1.4845558119170072E-3</v>
      </c>
      <c r="E12" s="253">
        <f t="shared" si="0"/>
        <v>6.8526235666024182E-3</v>
      </c>
      <c r="F12" s="253">
        <f t="shared" si="0"/>
        <v>2.9583539730230215E-3</v>
      </c>
      <c r="G12" s="253">
        <f t="shared" si="0"/>
        <v>1.8825888919237412E-3</v>
      </c>
      <c r="H12" s="253">
        <f t="shared" si="0"/>
        <v>2.2322125432810071E-2</v>
      </c>
      <c r="I12" s="253">
        <f t="shared" si="0"/>
        <v>1.8288006378687771E-2</v>
      </c>
      <c r="J12" s="187"/>
    </row>
    <row r="13" spans="1:10" x14ac:dyDescent="0.25">
      <c r="A13" s="214">
        <v>41244</v>
      </c>
      <c r="B13" s="227">
        <v>0</v>
      </c>
      <c r="C13" s="7">
        <v>521176.19</v>
      </c>
      <c r="D13" s="7">
        <f>B13*D17</f>
        <v>0</v>
      </c>
      <c r="E13" s="7">
        <f>B13*E17</f>
        <v>0</v>
      </c>
      <c r="F13" s="7">
        <f>B13*F17</f>
        <v>0</v>
      </c>
      <c r="G13" s="7">
        <f>B13*G17</f>
        <v>0</v>
      </c>
      <c r="H13" s="7">
        <f>B13*H17</f>
        <v>0</v>
      </c>
      <c r="I13" s="7">
        <f>B13*I17</f>
        <v>0</v>
      </c>
      <c r="J13" s="188">
        <f>SUM(D13:I13)</f>
        <v>0</v>
      </c>
    </row>
    <row r="14" spans="1:10" x14ac:dyDescent="0.25">
      <c r="A14" s="213" t="s">
        <v>48</v>
      </c>
      <c r="B14" s="213" t="s">
        <v>50</v>
      </c>
      <c r="C14" s="240" t="s">
        <v>51</v>
      </c>
      <c r="D14" s="240" t="s">
        <v>63</v>
      </c>
      <c r="E14" s="240" t="s">
        <v>63</v>
      </c>
      <c r="F14" s="240" t="s">
        <v>63</v>
      </c>
      <c r="G14" s="240" t="s">
        <v>63</v>
      </c>
      <c r="H14" s="240" t="s">
        <v>63</v>
      </c>
      <c r="I14" s="240" t="s">
        <v>63</v>
      </c>
      <c r="J14" s="187"/>
    </row>
    <row r="15" spans="1:10" x14ac:dyDescent="0.25">
      <c r="A15" s="213" t="s">
        <v>49</v>
      </c>
      <c r="B15" s="209">
        <f>TABELAS!B25</f>
        <v>0.13500000000000001</v>
      </c>
      <c r="C15" s="242">
        <f>TABELAS!C25</f>
        <v>17640</v>
      </c>
      <c r="D15" s="254">
        <f>((C13*B15)-C15)/C13</f>
        <v>0.10115348064922153</v>
      </c>
      <c r="E15" s="255">
        <f>D15</f>
        <v>0.10115348064922153</v>
      </c>
      <c r="F15" s="255">
        <f>E15</f>
        <v>0.10115348064922153</v>
      </c>
      <c r="G15" s="255">
        <f>F15</f>
        <v>0.10115348064922153</v>
      </c>
      <c r="H15" s="255">
        <f>G15</f>
        <v>0.10115348064922153</v>
      </c>
      <c r="I15" s="255">
        <f>H15</f>
        <v>0.10115348064922153</v>
      </c>
      <c r="J15" s="187"/>
    </row>
    <row r="16" spans="1:10" x14ac:dyDescent="0.25">
      <c r="A16" s="210"/>
      <c r="B16" s="210"/>
      <c r="D16" s="255">
        <f>TABELAS!D25</f>
        <v>2.9600000000000001E-2</v>
      </c>
      <c r="E16" s="255">
        <f>TABELAS!E25</f>
        <v>0.13639999999999999</v>
      </c>
      <c r="F16" s="255">
        <f>TABELAS!F25</f>
        <v>0.04</v>
      </c>
      <c r="G16" s="255">
        <f>TABELAS!G25</f>
        <v>3.5000000000000003E-2</v>
      </c>
      <c r="H16" s="255">
        <f>TABELAS!H25</f>
        <v>0.434</v>
      </c>
      <c r="I16" s="255">
        <f>TABELAS!I25</f>
        <v>0.32500000000000001</v>
      </c>
      <c r="J16" s="187"/>
    </row>
    <row r="17" spans="1:10" ht="15.75" thickBot="1" x14ac:dyDescent="0.3">
      <c r="A17" s="210"/>
      <c r="B17" s="210"/>
      <c r="D17" s="256">
        <f t="shared" ref="D17:I17" si="1">D16*D15</f>
        <v>2.9941430272169573E-3</v>
      </c>
      <c r="E17" s="256">
        <f t="shared" si="1"/>
        <v>1.3797334760553816E-2</v>
      </c>
      <c r="F17" s="256">
        <f t="shared" si="1"/>
        <v>4.0461392259688615E-3</v>
      </c>
      <c r="G17" s="256">
        <f t="shared" si="1"/>
        <v>3.5403718227227537E-3</v>
      </c>
      <c r="H17" s="256">
        <f t="shared" si="1"/>
        <v>4.390061060176214E-2</v>
      </c>
      <c r="I17" s="256">
        <f t="shared" si="1"/>
        <v>3.2874881210996999E-2</v>
      </c>
      <c r="J17" s="187"/>
    </row>
    <row r="18" spans="1:10" x14ac:dyDescent="0.25">
      <c r="A18" s="214">
        <v>44621</v>
      </c>
      <c r="B18" s="227">
        <v>0</v>
      </c>
      <c r="C18" s="6">
        <v>0</v>
      </c>
      <c r="D18" s="7" t="e">
        <f>B18*D22</f>
        <v>#DIV/0!</v>
      </c>
      <c r="E18" s="7" t="e">
        <f>B18*E22</f>
        <v>#DIV/0!</v>
      </c>
      <c r="F18" s="7" t="e">
        <f>B18*F22</f>
        <v>#DIV/0!</v>
      </c>
      <c r="G18" s="7" t="e">
        <f>B18*G22</f>
        <v>#DIV/0!</v>
      </c>
      <c r="H18" s="7" t="e">
        <f>B18*H22</f>
        <v>#DIV/0!</v>
      </c>
      <c r="I18" s="7" t="e">
        <f>B18*I22</f>
        <v>#DIV/0!</v>
      </c>
      <c r="J18" s="188" t="e">
        <f>SUM(D18:I18)</f>
        <v>#DIV/0!</v>
      </c>
    </row>
    <row r="19" spans="1:10" x14ac:dyDescent="0.25">
      <c r="A19" s="213" t="s">
        <v>48</v>
      </c>
      <c r="B19" s="213" t="s">
        <v>50</v>
      </c>
      <c r="C19" s="240" t="s">
        <v>51</v>
      </c>
      <c r="D19" s="240" t="s">
        <v>63</v>
      </c>
      <c r="E19" s="240" t="s">
        <v>63</v>
      </c>
      <c r="F19" s="240" t="s">
        <v>63</v>
      </c>
      <c r="G19" s="240" t="s">
        <v>63</v>
      </c>
      <c r="H19" s="240" t="s">
        <v>63</v>
      </c>
      <c r="I19" s="240" t="s">
        <v>63</v>
      </c>
      <c r="J19" s="187"/>
    </row>
    <row r="20" spans="1:10" x14ac:dyDescent="0.25">
      <c r="A20" s="213" t="s">
        <v>49</v>
      </c>
      <c r="B20" s="209">
        <f>TABELAS!B7</f>
        <v>0.107</v>
      </c>
      <c r="C20" s="242">
        <f>TABELAS!C7</f>
        <v>22500</v>
      </c>
      <c r="D20" s="254" t="e">
        <f>((C18*B20)-C20)/C18</f>
        <v>#DIV/0!</v>
      </c>
      <c r="E20" s="255" t="e">
        <f>D20</f>
        <v>#DIV/0!</v>
      </c>
      <c r="F20" s="255" t="e">
        <f>E20</f>
        <v>#DIV/0!</v>
      </c>
      <c r="G20" s="255" t="e">
        <f>F20</f>
        <v>#DIV/0!</v>
      </c>
      <c r="H20" s="255" t="e">
        <f>G20</f>
        <v>#DIV/0!</v>
      </c>
      <c r="I20" s="255" t="e">
        <f>H20</f>
        <v>#DIV/0!</v>
      </c>
      <c r="J20" s="187"/>
    </row>
    <row r="21" spans="1:10" x14ac:dyDescent="0.25">
      <c r="A21" s="210"/>
      <c r="B21" s="210"/>
      <c r="D21" s="255">
        <f>TABELAS!D25</f>
        <v>2.9600000000000001E-2</v>
      </c>
      <c r="E21" s="255">
        <f>TABELAS!E25</f>
        <v>0.13639999999999999</v>
      </c>
      <c r="F21" s="255">
        <f>TABELAS!F25</f>
        <v>0.04</v>
      </c>
      <c r="G21" s="255">
        <f>TABELAS!G25</f>
        <v>3.5000000000000003E-2</v>
      </c>
      <c r="H21" s="255">
        <f>TABELAS!H25</f>
        <v>0.434</v>
      </c>
      <c r="I21" s="255">
        <f>TABELAS!I25</f>
        <v>0.32500000000000001</v>
      </c>
      <c r="J21" s="187"/>
    </row>
    <row r="22" spans="1:10" ht="15.75" thickBot="1" x14ac:dyDescent="0.3">
      <c r="A22" s="210"/>
      <c r="B22" s="210"/>
      <c r="D22" s="256" t="e">
        <f t="shared" ref="D22:I22" si="2">D21*D20</f>
        <v>#DIV/0!</v>
      </c>
      <c r="E22" s="256" t="e">
        <f t="shared" si="2"/>
        <v>#DIV/0!</v>
      </c>
      <c r="F22" s="256" t="e">
        <f t="shared" si="2"/>
        <v>#DIV/0!</v>
      </c>
      <c r="G22" s="256" t="e">
        <f t="shared" si="2"/>
        <v>#DIV/0!</v>
      </c>
      <c r="H22" s="256" t="e">
        <f t="shared" si="2"/>
        <v>#DIV/0!</v>
      </c>
      <c r="I22" s="256" t="e">
        <f t="shared" si="2"/>
        <v>#DIV/0!</v>
      </c>
      <c r="J22" s="187"/>
    </row>
    <row r="23" spans="1:10" x14ac:dyDescent="0.25">
      <c r="A23" s="214">
        <v>44652</v>
      </c>
      <c r="B23" s="227">
        <v>0</v>
      </c>
      <c r="C23" s="6">
        <v>0</v>
      </c>
      <c r="D23" s="7" t="e">
        <f>B23*D27</f>
        <v>#DIV/0!</v>
      </c>
      <c r="E23" s="7" t="e">
        <f>B23*E27</f>
        <v>#DIV/0!</v>
      </c>
      <c r="F23" s="7" t="e">
        <f>B23*F27</f>
        <v>#DIV/0!</v>
      </c>
      <c r="G23" s="7" t="e">
        <f>B23*G27</f>
        <v>#DIV/0!</v>
      </c>
      <c r="H23" s="7" t="e">
        <f>B23*H27</f>
        <v>#DIV/0!</v>
      </c>
      <c r="I23" s="7" t="e">
        <f>B23*I27</f>
        <v>#DIV/0!</v>
      </c>
      <c r="J23" s="188" t="e">
        <f>SUM(D23:I23)</f>
        <v>#DIV/0!</v>
      </c>
    </row>
    <row r="24" spans="1:10" x14ac:dyDescent="0.25">
      <c r="A24" s="213" t="s">
        <v>48</v>
      </c>
      <c r="B24" s="213" t="s">
        <v>50</v>
      </c>
      <c r="C24" s="240" t="s">
        <v>51</v>
      </c>
      <c r="D24" s="240" t="s">
        <v>63</v>
      </c>
      <c r="E24" s="240" t="s">
        <v>63</v>
      </c>
      <c r="F24" s="240" t="s">
        <v>63</v>
      </c>
      <c r="G24" s="240" t="s">
        <v>63</v>
      </c>
      <c r="H24" s="240" t="s">
        <v>63</v>
      </c>
      <c r="I24" s="240" t="s">
        <v>63</v>
      </c>
      <c r="J24" s="187"/>
    </row>
    <row r="25" spans="1:10" x14ac:dyDescent="0.25">
      <c r="A25" s="213" t="s">
        <v>49</v>
      </c>
      <c r="B25" s="209">
        <f>TABELAS!B7</f>
        <v>0.107</v>
      </c>
      <c r="C25" s="242">
        <f>TABELAS!C7</f>
        <v>22500</v>
      </c>
      <c r="D25" s="254" t="e">
        <f>((C23*B25)-C25)/C23</f>
        <v>#DIV/0!</v>
      </c>
      <c r="E25" s="255" t="e">
        <f>D25</f>
        <v>#DIV/0!</v>
      </c>
      <c r="F25" s="255" t="e">
        <f>E25</f>
        <v>#DIV/0!</v>
      </c>
      <c r="G25" s="255" t="e">
        <f>F25</f>
        <v>#DIV/0!</v>
      </c>
      <c r="H25" s="255" t="e">
        <f>G25</f>
        <v>#DIV/0!</v>
      </c>
      <c r="I25" s="255" t="e">
        <f>H25</f>
        <v>#DIV/0!</v>
      </c>
      <c r="J25" s="187"/>
    </row>
    <row r="26" spans="1:10" x14ac:dyDescent="0.25">
      <c r="A26" s="210"/>
      <c r="B26" s="210"/>
      <c r="D26" s="255">
        <f>TABELAS!D25</f>
        <v>2.9600000000000001E-2</v>
      </c>
      <c r="E26" s="255">
        <f>TABELAS!E25</f>
        <v>0.13639999999999999</v>
      </c>
      <c r="F26" s="255">
        <f>TABELAS!F25</f>
        <v>0.04</v>
      </c>
      <c r="G26" s="255">
        <f>TABELAS!G25</f>
        <v>3.5000000000000003E-2</v>
      </c>
      <c r="H26" s="255">
        <f>TABELAS!H25</f>
        <v>0.434</v>
      </c>
      <c r="I26" s="255">
        <f>TABELAS!I25</f>
        <v>0.32500000000000001</v>
      </c>
      <c r="J26" s="187"/>
    </row>
    <row r="27" spans="1:10" ht="15.75" thickBot="1" x14ac:dyDescent="0.3">
      <c r="A27" s="210"/>
      <c r="B27" s="210"/>
      <c r="D27" s="256" t="e">
        <f t="shared" ref="D27:I27" si="3">D26*D25</f>
        <v>#DIV/0!</v>
      </c>
      <c r="E27" s="256" t="e">
        <f t="shared" si="3"/>
        <v>#DIV/0!</v>
      </c>
      <c r="F27" s="256" t="e">
        <f t="shared" si="3"/>
        <v>#DIV/0!</v>
      </c>
      <c r="G27" s="256" t="e">
        <f t="shared" si="3"/>
        <v>#DIV/0!</v>
      </c>
      <c r="H27" s="256" t="e">
        <f t="shared" si="3"/>
        <v>#DIV/0!</v>
      </c>
      <c r="I27" s="256" t="e">
        <f t="shared" si="3"/>
        <v>#DIV/0!</v>
      </c>
      <c r="J27" s="187"/>
    </row>
    <row r="28" spans="1:10" x14ac:dyDescent="0.25">
      <c r="A28" s="214">
        <v>44682</v>
      </c>
      <c r="B28" s="227">
        <v>0</v>
      </c>
      <c r="C28" s="6">
        <v>0</v>
      </c>
      <c r="D28" s="7" t="e">
        <f>B28*D32</f>
        <v>#DIV/0!</v>
      </c>
      <c r="E28" s="7" t="e">
        <f>B28*E32</f>
        <v>#DIV/0!</v>
      </c>
      <c r="F28" s="7" t="e">
        <f>B28*F32</f>
        <v>#DIV/0!</v>
      </c>
      <c r="G28" s="7" t="e">
        <f>B28*G32</f>
        <v>#DIV/0!</v>
      </c>
      <c r="H28" s="7" t="e">
        <f>B28*H32</f>
        <v>#DIV/0!</v>
      </c>
      <c r="I28" s="7" t="e">
        <f>B28*I32</f>
        <v>#DIV/0!</v>
      </c>
      <c r="J28" s="188" t="e">
        <f>SUM(D28:I28)</f>
        <v>#DIV/0!</v>
      </c>
    </row>
    <row r="29" spans="1:10" x14ac:dyDescent="0.25">
      <c r="A29" s="213" t="s">
        <v>48</v>
      </c>
      <c r="B29" s="213" t="s">
        <v>50</v>
      </c>
      <c r="C29" s="240" t="s">
        <v>51</v>
      </c>
      <c r="D29" s="240" t="s">
        <v>63</v>
      </c>
      <c r="E29" s="240" t="s">
        <v>63</v>
      </c>
      <c r="F29" s="240" t="s">
        <v>63</v>
      </c>
      <c r="G29" s="240" t="s">
        <v>63</v>
      </c>
      <c r="H29" s="240" t="s">
        <v>63</v>
      </c>
      <c r="I29" s="240" t="s">
        <v>63</v>
      </c>
      <c r="J29" s="187"/>
    </row>
    <row r="30" spans="1:10" x14ac:dyDescent="0.25">
      <c r="A30" s="213" t="s">
        <v>49</v>
      </c>
      <c r="B30" s="209">
        <f>TABELAS!B25</f>
        <v>0.13500000000000001</v>
      </c>
      <c r="C30" s="242">
        <f>TABELAS!C25</f>
        <v>17640</v>
      </c>
      <c r="D30" s="254" t="e">
        <f>((C28*B30)-C30)/C28</f>
        <v>#DIV/0!</v>
      </c>
      <c r="E30" s="255" t="e">
        <f>D30</f>
        <v>#DIV/0!</v>
      </c>
      <c r="F30" s="255" t="e">
        <f>E30</f>
        <v>#DIV/0!</v>
      </c>
      <c r="G30" s="255" t="e">
        <f>F30</f>
        <v>#DIV/0!</v>
      </c>
      <c r="H30" s="255" t="e">
        <f>G30</f>
        <v>#DIV/0!</v>
      </c>
      <c r="I30" s="255" t="e">
        <f>H30</f>
        <v>#DIV/0!</v>
      </c>
      <c r="J30" s="187"/>
    </row>
    <row r="31" spans="1:10" x14ac:dyDescent="0.25">
      <c r="A31" s="210"/>
      <c r="B31" s="210"/>
      <c r="D31" s="255">
        <f>TABELAS!D25</f>
        <v>2.9600000000000001E-2</v>
      </c>
      <c r="E31" s="255">
        <f>TABELAS!E25</f>
        <v>0.13639999999999999</v>
      </c>
      <c r="F31" s="255">
        <f>TABELAS!F25</f>
        <v>0.04</v>
      </c>
      <c r="G31" s="255">
        <f>TABELAS!G25</f>
        <v>3.5000000000000003E-2</v>
      </c>
      <c r="H31" s="255">
        <f>TABELAS!H25</f>
        <v>0.434</v>
      </c>
      <c r="I31" s="255">
        <f>TABELAS!I25</f>
        <v>0.32500000000000001</v>
      </c>
      <c r="J31" s="187"/>
    </row>
    <row r="32" spans="1:10" ht="15.75" thickBot="1" x14ac:dyDescent="0.3">
      <c r="A32" s="210"/>
      <c r="B32" s="210"/>
      <c r="D32" s="256" t="e">
        <f t="shared" ref="D32:I32" si="4">D31*D30</f>
        <v>#DIV/0!</v>
      </c>
      <c r="E32" s="256" t="e">
        <f t="shared" si="4"/>
        <v>#DIV/0!</v>
      </c>
      <c r="F32" s="256" t="e">
        <f t="shared" si="4"/>
        <v>#DIV/0!</v>
      </c>
      <c r="G32" s="256" t="e">
        <f t="shared" si="4"/>
        <v>#DIV/0!</v>
      </c>
      <c r="H32" s="256" t="e">
        <f t="shared" si="4"/>
        <v>#DIV/0!</v>
      </c>
      <c r="I32" s="256" t="e">
        <f t="shared" si="4"/>
        <v>#DIV/0!</v>
      </c>
      <c r="J32" s="187"/>
    </row>
    <row r="33" spans="1:10" x14ac:dyDescent="0.25">
      <c r="A33" s="214">
        <v>44713</v>
      </c>
      <c r="B33" s="227">
        <v>0</v>
      </c>
      <c r="C33" s="6">
        <v>0</v>
      </c>
      <c r="D33" s="7" t="e">
        <f>B33*D37</f>
        <v>#DIV/0!</v>
      </c>
      <c r="E33" s="7" t="e">
        <f>B33*E37</f>
        <v>#DIV/0!</v>
      </c>
      <c r="F33" s="7" t="e">
        <f>B33*F37</f>
        <v>#DIV/0!</v>
      </c>
      <c r="G33" s="7" t="e">
        <f>B33*G37</f>
        <v>#DIV/0!</v>
      </c>
      <c r="H33" s="7" t="e">
        <f>B33*H37</f>
        <v>#DIV/0!</v>
      </c>
      <c r="I33" s="7" t="e">
        <f>B33*I37</f>
        <v>#DIV/0!</v>
      </c>
      <c r="J33" s="188" t="e">
        <f>SUM(D33:I33)</f>
        <v>#DIV/0!</v>
      </c>
    </row>
    <row r="34" spans="1:10" x14ac:dyDescent="0.25">
      <c r="A34" s="213" t="s">
        <v>48</v>
      </c>
      <c r="B34" s="213" t="s">
        <v>50</v>
      </c>
      <c r="C34" s="240" t="s">
        <v>51</v>
      </c>
      <c r="D34" s="240" t="s">
        <v>63</v>
      </c>
      <c r="E34" s="240" t="s">
        <v>63</v>
      </c>
      <c r="F34" s="240" t="s">
        <v>63</v>
      </c>
      <c r="G34" s="240" t="s">
        <v>63</v>
      </c>
      <c r="H34" s="240" t="s">
        <v>63</v>
      </c>
      <c r="I34" s="240" t="s">
        <v>63</v>
      </c>
      <c r="J34" s="187"/>
    </row>
    <row r="35" spans="1:10" x14ac:dyDescent="0.25">
      <c r="A35" s="213" t="s">
        <v>49</v>
      </c>
      <c r="B35" s="209">
        <f>TABELAS!B25</f>
        <v>0.13500000000000001</v>
      </c>
      <c r="C35" s="242">
        <f>TABELAS!C25</f>
        <v>17640</v>
      </c>
      <c r="D35" s="254" t="e">
        <f>((C33*B35)-C35)/C33</f>
        <v>#DIV/0!</v>
      </c>
      <c r="E35" s="255" t="e">
        <f>D35</f>
        <v>#DIV/0!</v>
      </c>
      <c r="F35" s="255" t="e">
        <f>E35</f>
        <v>#DIV/0!</v>
      </c>
      <c r="G35" s="255" t="e">
        <f>F35</f>
        <v>#DIV/0!</v>
      </c>
      <c r="H35" s="255" t="e">
        <f>G35</f>
        <v>#DIV/0!</v>
      </c>
      <c r="I35" s="255" t="e">
        <f>H35</f>
        <v>#DIV/0!</v>
      </c>
      <c r="J35" s="187"/>
    </row>
    <row r="36" spans="1:10" x14ac:dyDescent="0.25">
      <c r="A36" s="210"/>
      <c r="B36" s="210"/>
      <c r="D36" s="255">
        <f>TABELAS!D25</f>
        <v>2.9600000000000001E-2</v>
      </c>
      <c r="E36" s="255">
        <f>TABELAS!E25</f>
        <v>0.13639999999999999</v>
      </c>
      <c r="F36" s="255">
        <f>TABELAS!F25</f>
        <v>0.04</v>
      </c>
      <c r="G36" s="255">
        <f>TABELAS!G25</f>
        <v>3.5000000000000003E-2</v>
      </c>
      <c r="H36" s="255">
        <f>TABELAS!H25</f>
        <v>0.434</v>
      </c>
      <c r="I36" s="255">
        <f>TABELAS!I25</f>
        <v>0.32500000000000001</v>
      </c>
      <c r="J36" s="187"/>
    </row>
    <row r="37" spans="1:10" ht="15.75" thickBot="1" x14ac:dyDescent="0.3">
      <c r="A37" s="210"/>
      <c r="B37" s="210"/>
      <c r="D37" s="256" t="e">
        <f t="shared" ref="D37:I37" si="5">D36*D35</f>
        <v>#DIV/0!</v>
      </c>
      <c r="E37" s="256" t="e">
        <f t="shared" si="5"/>
        <v>#DIV/0!</v>
      </c>
      <c r="F37" s="256" t="e">
        <f t="shared" si="5"/>
        <v>#DIV/0!</v>
      </c>
      <c r="G37" s="256" t="e">
        <f t="shared" si="5"/>
        <v>#DIV/0!</v>
      </c>
      <c r="H37" s="256" t="e">
        <f t="shared" si="5"/>
        <v>#DIV/0!</v>
      </c>
      <c r="I37" s="256" t="e">
        <f t="shared" si="5"/>
        <v>#DIV/0!</v>
      </c>
      <c r="J37" s="187"/>
    </row>
    <row r="38" spans="1:10" x14ac:dyDescent="0.25">
      <c r="A38" s="214">
        <v>44743</v>
      </c>
      <c r="B38" s="227">
        <v>0</v>
      </c>
      <c r="C38" s="6">
        <v>0</v>
      </c>
      <c r="D38" s="7" t="e">
        <f>B38*D42</f>
        <v>#DIV/0!</v>
      </c>
      <c r="E38" s="7" t="e">
        <f>B38*E42</f>
        <v>#DIV/0!</v>
      </c>
      <c r="F38" s="7" t="e">
        <f>B38*F42</f>
        <v>#DIV/0!</v>
      </c>
      <c r="G38" s="7" t="e">
        <f>B38*G42</f>
        <v>#DIV/0!</v>
      </c>
      <c r="H38" s="7" t="e">
        <f>B38*H42</f>
        <v>#DIV/0!</v>
      </c>
      <c r="I38" s="7" t="e">
        <f>B38*I42</f>
        <v>#DIV/0!</v>
      </c>
      <c r="J38" s="188" t="e">
        <f>SUM(D38:I38)</f>
        <v>#DIV/0!</v>
      </c>
    </row>
    <row r="39" spans="1:10" x14ac:dyDescent="0.25">
      <c r="A39" s="213" t="s">
        <v>48</v>
      </c>
      <c r="B39" s="213" t="s">
        <v>50</v>
      </c>
      <c r="C39" s="240" t="s">
        <v>51</v>
      </c>
      <c r="D39" s="240" t="s">
        <v>63</v>
      </c>
      <c r="E39" s="240" t="s">
        <v>63</v>
      </c>
      <c r="F39" s="240" t="s">
        <v>63</v>
      </c>
      <c r="G39" s="240" t="s">
        <v>63</v>
      </c>
      <c r="H39" s="240" t="s">
        <v>63</v>
      </c>
      <c r="I39" s="240" t="s">
        <v>63</v>
      </c>
      <c r="J39" s="187"/>
    </row>
    <row r="40" spans="1:10" x14ac:dyDescent="0.25">
      <c r="A40" s="213" t="s">
        <v>49</v>
      </c>
      <c r="B40" s="209">
        <f>TABELAS!B25</f>
        <v>0.13500000000000001</v>
      </c>
      <c r="C40" s="242">
        <f>TABELAS!C25</f>
        <v>17640</v>
      </c>
      <c r="D40" s="254" t="e">
        <f>((C38*B40)-C40)/C38</f>
        <v>#DIV/0!</v>
      </c>
      <c r="E40" s="255" t="e">
        <f>D40</f>
        <v>#DIV/0!</v>
      </c>
      <c r="F40" s="255" t="e">
        <f>E40</f>
        <v>#DIV/0!</v>
      </c>
      <c r="G40" s="255" t="e">
        <f>F40</f>
        <v>#DIV/0!</v>
      </c>
      <c r="H40" s="255" t="e">
        <f>G40</f>
        <v>#DIV/0!</v>
      </c>
      <c r="I40" s="255" t="e">
        <f>H40</f>
        <v>#DIV/0!</v>
      </c>
      <c r="J40" s="187"/>
    </row>
    <row r="41" spans="1:10" x14ac:dyDescent="0.25">
      <c r="A41" s="210"/>
      <c r="B41" s="210"/>
      <c r="D41" s="255">
        <f>TABELAS!D25</f>
        <v>2.9600000000000001E-2</v>
      </c>
      <c r="E41" s="255">
        <f>TABELAS!E25</f>
        <v>0.13639999999999999</v>
      </c>
      <c r="F41" s="255">
        <f>TABELAS!F25</f>
        <v>0.04</v>
      </c>
      <c r="G41" s="255">
        <f>TABELAS!G25</f>
        <v>3.5000000000000003E-2</v>
      </c>
      <c r="H41" s="255">
        <f>TABELAS!H25</f>
        <v>0.434</v>
      </c>
      <c r="I41" s="255">
        <f>TABELAS!I25</f>
        <v>0.32500000000000001</v>
      </c>
      <c r="J41" s="187"/>
    </row>
    <row r="42" spans="1:10" ht="15.75" thickBot="1" x14ac:dyDescent="0.3">
      <c r="A42" s="210"/>
      <c r="B42" s="210"/>
      <c r="D42" s="256" t="e">
        <f t="shared" ref="D42:I42" si="6">D41*D40</f>
        <v>#DIV/0!</v>
      </c>
      <c r="E42" s="256" t="e">
        <f t="shared" si="6"/>
        <v>#DIV/0!</v>
      </c>
      <c r="F42" s="256" t="e">
        <f t="shared" si="6"/>
        <v>#DIV/0!</v>
      </c>
      <c r="G42" s="256" t="e">
        <f t="shared" si="6"/>
        <v>#DIV/0!</v>
      </c>
      <c r="H42" s="256" t="e">
        <f t="shared" si="6"/>
        <v>#DIV/0!</v>
      </c>
      <c r="I42" s="256" t="e">
        <f t="shared" si="6"/>
        <v>#DIV/0!</v>
      </c>
      <c r="J42" s="187"/>
    </row>
    <row r="43" spans="1:10" x14ac:dyDescent="0.25">
      <c r="A43" s="214">
        <v>44774</v>
      </c>
      <c r="B43" s="227">
        <v>0</v>
      </c>
      <c r="C43" s="6">
        <v>0</v>
      </c>
      <c r="D43" s="7" t="e">
        <f>B43*D47</f>
        <v>#DIV/0!</v>
      </c>
      <c r="E43" s="7" t="e">
        <f>B43*E47</f>
        <v>#DIV/0!</v>
      </c>
      <c r="F43" s="7" t="e">
        <f>B43*F47</f>
        <v>#DIV/0!</v>
      </c>
      <c r="G43" s="7" t="e">
        <f>B43*G47</f>
        <v>#DIV/0!</v>
      </c>
      <c r="H43" s="7" t="e">
        <f>B43*H47</f>
        <v>#DIV/0!</v>
      </c>
      <c r="I43" s="7" t="e">
        <f>B43*I47</f>
        <v>#DIV/0!</v>
      </c>
      <c r="J43" s="188" t="e">
        <f>SUM(D43:I43)</f>
        <v>#DIV/0!</v>
      </c>
    </row>
    <row r="44" spans="1:10" x14ac:dyDescent="0.25">
      <c r="A44" s="213" t="s">
        <v>48</v>
      </c>
      <c r="B44" s="213" t="s">
        <v>50</v>
      </c>
      <c r="C44" s="240" t="s">
        <v>51</v>
      </c>
      <c r="D44" s="240" t="s">
        <v>63</v>
      </c>
      <c r="E44" s="240" t="s">
        <v>63</v>
      </c>
      <c r="F44" s="240" t="s">
        <v>63</v>
      </c>
      <c r="G44" s="240" t="s">
        <v>63</v>
      </c>
      <c r="H44" s="240" t="s">
        <v>63</v>
      </c>
      <c r="I44" s="240" t="s">
        <v>63</v>
      </c>
      <c r="J44" s="187"/>
    </row>
    <row r="45" spans="1:10" x14ac:dyDescent="0.25">
      <c r="A45" s="213" t="s">
        <v>49</v>
      </c>
      <c r="B45" s="209">
        <f>TABELAS!B25</f>
        <v>0.13500000000000001</v>
      </c>
      <c r="C45" s="242">
        <f>TABELAS!C25</f>
        <v>17640</v>
      </c>
      <c r="D45" s="254" t="e">
        <f>((C43*B45)-C45)/C43</f>
        <v>#DIV/0!</v>
      </c>
      <c r="E45" s="255" t="e">
        <f>D45</f>
        <v>#DIV/0!</v>
      </c>
      <c r="F45" s="255" t="e">
        <f>E45</f>
        <v>#DIV/0!</v>
      </c>
      <c r="G45" s="255" t="e">
        <f>F45</f>
        <v>#DIV/0!</v>
      </c>
      <c r="H45" s="255" t="e">
        <f>G45</f>
        <v>#DIV/0!</v>
      </c>
      <c r="I45" s="255" t="e">
        <f>H45</f>
        <v>#DIV/0!</v>
      </c>
      <c r="J45" s="187"/>
    </row>
    <row r="46" spans="1:10" x14ac:dyDescent="0.25">
      <c r="A46" s="210"/>
      <c r="B46" s="210"/>
      <c r="D46" s="255">
        <f>TABELAS!D25</f>
        <v>2.9600000000000001E-2</v>
      </c>
      <c r="E46" s="255">
        <f>TABELAS!E25</f>
        <v>0.13639999999999999</v>
      </c>
      <c r="F46" s="255">
        <f>TABELAS!F25</f>
        <v>0.04</v>
      </c>
      <c r="G46" s="255">
        <f>TABELAS!G25</f>
        <v>3.5000000000000003E-2</v>
      </c>
      <c r="H46" s="255">
        <f>TABELAS!H25</f>
        <v>0.434</v>
      </c>
      <c r="I46" s="255">
        <f>TABELAS!I25</f>
        <v>0.32500000000000001</v>
      </c>
      <c r="J46" s="187"/>
    </row>
    <row r="47" spans="1:10" ht="15.75" thickBot="1" x14ac:dyDescent="0.3">
      <c r="A47" s="210"/>
      <c r="B47" s="210"/>
      <c r="D47" s="256" t="e">
        <f t="shared" ref="D47:I47" si="7">D46*D45</f>
        <v>#DIV/0!</v>
      </c>
      <c r="E47" s="256" t="e">
        <f t="shared" si="7"/>
        <v>#DIV/0!</v>
      </c>
      <c r="F47" s="256" t="e">
        <f t="shared" si="7"/>
        <v>#DIV/0!</v>
      </c>
      <c r="G47" s="256" t="e">
        <f t="shared" si="7"/>
        <v>#DIV/0!</v>
      </c>
      <c r="H47" s="256" t="e">
        <f t="shared" si="7"/>
        <v>#DIV/0!</v>
      </c>
      <c r="I47" s="256" t="e">
        <f t="shared" si="7"/>
        <v>#DIV/0!</v>
      </c>
      <c r="J47" s="187"/>
    </row>
    <row r="48" spans="1:10" x14ac:dyDescent="0.25">
      <c r="A48" s="214">
        <v>44805</v>
      </c>
      <c r="B48" s="227">
        <v>0</v>
      </c>
      <c r="C48" s="6">
        <v>0</v>
      </c>
      <c r="D48" s="7" t="e">
        <f>B48*D52</f>
        <v>#DIV/0!</v>
      </c>
      <c r="E48" s="7" t="e">
        <f>B48*E52</f>
        <v>#DIV/0!</v>
      </c>
      <c r="F48" s="7" t="e">
        <f>B48*F52</f>
        <v>#DIV/0!</v>
      </c>
      <c r="G48" s="7" t="e">
        <f>B48*G52</f>
        <v>#DIV/0!</v>
      </c>
      <c r="H48" s="7" t="e">
        <f>B48*H52</f>
        <v>#DIV/0!</v>
      </c>
      <c r="I48" s="7" t="e">
        <f>B48*I52</f>
        <v>#DIV/0!</v>
      </c>
      <c r="J48" s="188" t="e">
        <f>SUM(D48:I48)</f>
        <v>#DIV/0!</v>
      </c>
    </row>
    <row r="49" spans="1:10" x14ac:dyDescent="0.25">
      <c r="A49" s="213" t="s">
        <v>48</v>
      </c>
      <c r="B49" s="213" t="s">
        <v>50</v>
      </c>
      <c r="C49" s="240" t="s">
        <v>51</v>
      </c>
      <c r="D49" s="240" t="s">
        <v>63</v>
      </c>
      <c r="E49" s="240" t="s">
        <v>63</v>
      </c>
      <c r="F49" s="240" t="s">
        <v>63</v>
      </c>
      <c r="G49" s="240" t="s">
        <v>63</v>
      </c>
      <c r="H49" s="240" t="s">
        <v>63</v>
      </c>
      <c r="I49" s="240" t="s">
        <v>63</v>
      </c>
      <c r="J49" s="187"/>
    </row>
    <row r="50" spans="1:10" x14ac:dyDescent="0.25">
      <c r="A50" s="213" t="s">
        <v>49</v>
      </c>
      <c r="B50" s="209">
        <f>TABELAS!B25</f>
        <v>0.13500000000000001</v>
      </c>
      <c r="C50" s="242">
        <f>TABELAS!C25</f>
        <v>17640</v>
      </c>
      <c r="D50" s="254" t="e">
        <f>((C48*B50)-C50)/C48</f>
        <v>#DIV/0!</v>
      </c>
      <c r="E50" s="255" t="e">
        <f>D50</f>
        <v>#DIV/0!</v>
      </c>
      <c r="F50" s="255" t="e">
        <f>E50</f>
        <v>#DIV/0!</v>
      </c>
      <c r="G50" s="255" t="e">
        <f>F50</f>
        <v>#DIV/0!</v>
      </c>
      <c r="H50" s="255" t="e">
        <f>G50</f>
        <v>#DIV/0!</v>
      </c>
      <c r="I50" s="255" t="e">
        <f>H50</f>
        <v>#DIV/0!</v>
      </c>
      <c r="J50" s="187"/>
    </row>
    <row r="51" spans="1:10" x14ac:dyDescent="0.25">
      <c r="A51" s="210"/>
      <c r="B51" s="210"/>
      <c r="D51" s="255">
        <f>TABELAS!D25</f>
        <v>2.9600000000000001E-2</v>
      </c>
      <c r="E51" s="255">
        <f>TABELAS!E25</f>
        <v>0.13639999999999999</v>
      </c>
      <c r="F51" s="255">
        <f>TABELAS!F25</f>
        <v>0.04</v>
      </c>
      <c r="G51" s="255">
        <f>TABELAS!G25</f>
        <v>3.5000000000000003E-2</v>
      </c>
      <c r="H51" s="255">
        <f>TABELAS!H25</f>
        <v>0.434</v>
      </c>
      <c r="I51" s="255">
        <f>TABELAS!I25</f>
        <v>0.32500000000000001</v>
      </c>
      <c r="J51" s="187"/>
    </row>
    <row r="52" spans="1:10" ht="15.75" thickBot="1" x14ac:dyDescent="0.3">
      <c r="A52" s="210"/>
      <c r="B52" s="210"/>
      <c r="D52" s="256" t="e">
        <f t="shared" ref="D52:I52" si="8">D51*D50</f>
        <v>#DIV/0!</v>
      </c>
      <c r="E52" s="256" t="e">
        <f t="shared" si="8"/>
        <v>#DIV/0!</v>
      </c>
      <c r="F52" s="256" t="e">
        <f t="shared" si="8"/>
        <v>#DIV/0!</v>
      </c>
      <c r="G52" s="256" t="e">
        <f t="shared" si="8"/>
        <v>#DIV/0!</v>
      </c>
      <c r="H52" s="256" t="e">
        <f t="shared" si="8"/>
        <v>#DIV/0!</v>
      </c>
      <c r="I52" s="256" t="e">
        <f t="shared" si="8"/>
        <v>#DIV/0!</v>
      </c>
      <c r="J52" s="187"/>
    </row>
    <row r="53" spans="1:10" x14ac:dyDescent="0.25">
      <c r="A53" s="214">
        <v>44835</v>
      </c>
      <c r="B53" s="227">
        <v>0</v>
      </c>
      <c r="C53" s="6">
        <v>0</v>
      </c>
      <c r="D53" s="7" t="e">
        <f>B53*D57</f>
        <v>#DIV/0!</v>
      </c>
      <c r="E53" s="7" t="e">
        <f>B53*E57</f>
        <v>#DIV/0!</v>
      </c>
      <c r="F53" s="7" t="e">
        <f>B53*F57</f>
        <v>#DIV/0!</v>
      </c>
      <c r="G53" s="7" t="e">
        <f>B53*G57</f>
        <v>#DIV/0!</v>
      </c>
      <c r="H53" s="7" t="e">
        <f>B53*H57</f>
        <v>#DIV/0!</v>
      </c>
      <c r="I53" s="7" t="e">
        <f>B53*I57</f>
        <v>#DIV/0!</v>
      </c>
      <c r="J53" s="188" t="e">
        <f>SUM(D53:I53)</f>
        <v>#DIV/0!</v>
      </c>
    </row>
    <row r="54" spans="1:10" x14ac:dyDescent="0.25">
      <c r="A54" s="213" t="s">
        <v>48</v>
      </c>
      <c r="B54" s="213" t="s">
        <v>50</v>
      </c>
      <c r="C54" s="240" t="s">
        <v>51</v>
      </c>
      <c r="D54" s="240" t="s">
        <v>63</v>
      </c>
      <c r="E54" s="240" t="s">
        <v>63</v>
      </c>
      <c r="F54" s="240" t="s">
        <v>63</v>
      </c>
      <c r="G54" s="240" t="s">
        <v>63</v>
      </c>
      <c r="H54" s="240" t="s">
        <v>63</v>
      </c>
      <c r="I54" s="240" t="s">
        <v>63</v>
      </c>
      <c r="J54" s="187"/>
    </row>
    <row r="55" spans="1:10" x14ac:dyDescent="0.25">
      <c r="A55" s="213" t="s">
        <v>49</v>
      </c>
      <c r="B55" s="209">
        <f>TABELAS!B25</f>
        <v>0.13500000000000001</v>
      </c>
      <c r="C55" s="242">
        <f>TABELAS!C25</f>
        <v>17640</v>
      </c>
      <c r="D55" s="254" t="e">
        <f>((C53*B55)-C55)/C53</f>
        <v>#DIV/0!</v>
      </c>
      <c r="E55" s="255" t="e">
        <f>D55</f>
        <v>#DIV/0!</v>
      </c>
      <c r="F55" s="255" t="e">
        <f>E55</f>
        <v>#DIV/0!</v>
      </c>
      <c r="G55" s="255" t="e">
        <f>F55</f>
        <v>#DIV/0!</v>
      </c>
      <c r="H55" s="255" t="e">
        <f>G55</f>
        <v>#DIV/0!</v>
      </c>
      <c r="I55" s="255" t="e">
        <f>H55</f>
        <v>#DIV/0!</v>
      </c>
      <c r="J55" s="187"/>
    </row>
    <row r="56" spans="1:10" x14ac:dyDescent="0.25">
      <c r="A56" s="210"/>
      <c r="B56" s="210"/>
      <c r="D56" s="255">
        <f>TABELAS!D25</f>
        <v>2.9600000000000001E-2</v>
      </c>
      <c r="E56" s="255">
        <f>TABELAS!E25</f>
        <v>0.13639999999999999</v>
      </c>
      <c r="F56" s="255">
        <f>TABELAS!F25</f>
        <v>0.04</v>
      </c>
      <c r="G56" s="255">
        <f>TABELAS!G25</f>
        <v>3.5000000000000003E-2</v>
      </c>
      <c r="H56" s="255">
        <f>TABELAS!H25</f>
        <v>0.434</v>
      </c>
      <c r="I56" s="255">
        <f>TABELAS!I25</f>
        <v>0.32500000000000001</v>
      </c>
      <c r="J56" s="187"/>
    </row>
    <row r="57" spans="1:10" ht="15.75" thickBot="1" x14ac:dyDescent="0.3">
      <c r="A57" s="210"/>
      <c r="B57" s="210"/>
      <c r="D57" s="256" t="e">
        <f t="shared" ref="D57:I57" si="9">D56*D55</f>
        <v>#DIV/0!</v>
      </c>
      <c r="E57" s="256" t="e">
        <f t="shared" si="9"/>
        <v>#DIV/0!</v>
      </c>
      <c r="F57" s="256" t="e">
        <f t="shared" si="9"/>
        <v>#DIV/0!</v>
      </c>
      <c r="G57" s="256" t="e">
        <f t="shared" si="9"/>
        <v>#DIV/0!</v>
      </c>
      <c r="H57" s="256" t="e">
        <f t="shared" si="9"/>
        <v>#DIV/0!</v>
      </c>
      <c r="I57" s="256" t="e">
        <f t="shared" si="9"/>
        <v>#DIV/0!</v>
      </c>
      <c r="J57" s="187"/>
    </row>
    <row r="58" spans="1:10" x14ac:dyDescent="0.25">
      <c r="A58" s="215">
        <v>44866</v>
      </c>
      <c r="B58" s="228">
        <v>0</v>
      </c>
      <c r="C58" s="243">
        <v>0</v>
      </c>
      <c r="D58" s="139" t="e">
        <f>B58*D62</f>
        <v>#DIV/0!</v>
      </c>
      <c r="E58" s="139" t="e">
        <f>B58*E62</f>
        <v>#DIV/0!</v>
      </c>
      <c r="F58" s="139" t="e">
        <f>B58*F62</f>
        <v>#DIV/0!</v>
      </c>
      <c r="G58" s="139" t="e">
        <f>B58*G62</f>
        <v>#DIV/0!</v>
      </c>
      <c r="H58" s="139" t="e">
        <f>B58*H62</f>
        <v>#DIV/0!</v>
      </c>
      <c r="I58" s="139" t="e">
        <f>B58*I62</f>
        <v>#DIV/0!</v>
      </c>
      <c r="J58" s="189" t="e">
        <f>SUM(D58:I58)</f>
        <v>#DIV/0!</v>
      </c>
    </row>
    <row r="59" spans="1:10" x14ac:dyDescent="0.25">
      <c r="A59" s="216" t="s">
        <v>48</v>
      </c>
      <c r="B59" s="216" t="s">
        <v>50</v>
      </c>
      <c r="C59" s="244" t="s">
        <v>51</v>
      </c>
      <c r="D59" s="244" t="s">
        <v>63</v>
      </c>
      <c r="E59" s="244" t="s">
        <v>63</v>
      </c>
      <c r="F59" s="244" t="s">
        <v>63</v>
      </c>
      <c r="G59" s="244" t="s">
        <v>63</v>
      </c>
      <c r="H59" s="244" t="s">
        <v>63</v>
      </c>
      <c r="I59" s="244" t="s">
        <v>63</v>
      </c>
      <c r="J59" s="190"/>
    </row>
    <row r="60" spans="1:10" x14ac:dyDescent="0.25">
      <c r="A60" s="216" t="s">
        <v>94</v>
      </c>
      <c r="B60" s="229">
        <f>B65</f>
        <v>0.19</v>
      </c>
      <c r="C60" s="245">
        <f>C65</f>
        <v>378000</v>
      </c>
      <c r="D60" s="257" t="e">
        <f>((C58*B60)-C60)/C58</f>
        <v>#DIV/0!</v>
      </c>
      <c r="E60" s="258" t="e">
        <f>D60</f>
        <v>#DIV/0!</v>
      </c>
      <c r="F60" s="258" t="e">
        <f>E60</f>
        <v>#DIV/0!</v>
      </c>
      <c r="G60" s="258" t="e">
        <f>F60</f>
        <v>#DIV/0!</v>
      </c>
      <c r="H60" s="258" t="e">
        <f>G60</f>
        <v>#DIV/0!</v>
      </c>
      <c r="I60" s="258" t="e">
        <f>H60</f>
        <v>#DIV/0!</v>
      </c>
      <c r="J60" s="190"/>
    </row>
    <row r="61" spans="1:10" x14ac:dyDescent="0.25">
      <c r="A61" s="217"/>
      <c r="B61" s="217"/>
      <c r="C61" s="246"/>
      <c r="D61" s="258">
        <f>D66</f>
        <v>6.13E-2</v>
      </c>
      <c r="E61" s="258">
        <f>E66</f>
        <v>0.28270000000000001</v>
      </c>
      <c r="F61" s="258">
        <f>F66</f>
        <v>0.13500000000000001</v>
      </c>
      <c r="G61" s="258">
        <f>G66</f>
        <v>0.1</v>
      </c>
      <c r="H61" s="258">
        <f>H66</f>
        <v>0.42099999999999999</v>
      </c>
      <c r="I61" s="258">
        <v>0</v>
      </c>
      <c r="J61" s="190"/>
    </row>
    <row r="62" spans="1:10" ht="15.75" thickBot="1" x14ac:dyDescent="0.3">
      <c r="A62" s="217"/>
      <c r="B62" s="217"/>
      <c r="C62" s="246"/>
      <c r="D62" s="259" t="e">
        <f t="shared" ref="D62:I62" si="10">D61*D60</f>
        <v>#DIV/0!</v>
      </c>
      <c r="E62" s="259" t="e">
        <f t="shared" si="10"/>
        <v>#DIV/0!</v>
      </c>
      <c r="F62" s="259" t="e">
        <f t="shared" si="10"/>
        <v>#DIV/0!</v>
      </c>
      <c r="G62" s="259" t="e">
        <f t="shared" si="10"/>
        <v>#DIV/0!</v>
      </c>
      <c r="H62" s="259" t="e">
        <f t="shared" si="10"/>
        <v>#DIV/0!</v>
      </c>
      <c r="I62" s="259" t="e">
        <f t="shared" si="10"/>
        <v>#DIV/0!</v>
      </c>
      <c r="J62" s="190"/>
    </row>
    <row r="63" spans="1:10" ht="15.75" thickBot="1" x14ac:dyDescent="0.3">
      <c r="A63" s="218">
        <v>44927</v>
      </c>
      <c r="B63" s="230">
        <f>RBT!E14</f>
        <v>200048.11</v>
      </c>
      <c r="C63" s="247">
        <v>4695422.1399999997</v>
      </c>
      <c r="D63" s="121">
        <f>B63*D67</f>
        <v>1342.7445687377283</v>
      </c>
      <c r="E63" s="121">
        <f>B63*E67</f>
        <v>6192.3962411444672</v>
      </c>
      <c r="F63" s="121">
        <f>B63*F67</f>
        <v>2957.1046782967919</v>
      </c>
      <c r="G63" s="121">
        <f>B63*G67</f>
        <v>2190.4479098494758</v>
      </c>
      <c r="H63" s="121">
        <f>B63*H67</f>
        <v>9221.785700466291</v>
      </c>
      <c r="I63" s="121">
        <f>B63*I67</f>
        <v>0</v>
      </c>
      <c r="J63" s="238">
        <f>SUM(D63:I63)</f>
        <v>21904.479098494754</v>
      </c>
    </row>
    <row r="64" spans="1:10" x14ac:dyDescent="0.25">
      <c r="A64" s="219" t="s">
        <v>48</v>
      </c>
      <c r="B64" s="231" t="s">
        <v>50</v>
      </c>
      <c r="C64" s="248" t="s">
        <v>51</v>
      </c>
      <c r="D64" s="248" t="s">
        <v>63</v>
      </c>
      <c r="E64" s="248" t="s">
        <v>63</v>
      </c>
      <c r="F64" s="248" t="s">
        <v>63</v>
      </c>
      <c r="G64" s="248" t="s">
        <v>63</v>
      </c>
      <c r="H64" s="248" t="s">
        <v>63</v>
      </c>
      <c r="I64" s="248" t="s">
        <v>63</v>
      </c>
      <c r="J64" s="124"/>
    </row>
    <row r="65" spans="1:10" x14ac:dyDescent="0.25">
      <c r="A65" s="219" t="s">
        <v>94</v>
      </c>
      <c r="B65" s="232">
        <f>TABELAS!B9</f>
        <v>0.19</v>
      </c>
      <c r="C65" s="249">
        <f>TABELAS!C9</f>
        <v>378000</v>
      </c>
      <c r="D65" s="260">
        <f>((C63*B65)-C65)/C63</f>
        <v>0.10949605621615098</v>
      </c>
      <c r="E65" s="261">
        <f>D65</f>
        <v>0.10949605621615098</v>
      </c>
      <c r="F65" s="261">
        <f>E65</f>
        <v>0.10949605621615098</v>
      </c>
      <c r="G65" s="261">
        <f>F65</f>
        <v>0.10949605621615098</v>
      </c>
      <c r="H65" s="261">
        <f>G65</f>
        <v>0.10949605621615098</v>
      </c>
      <c r="I65" s="261">
        <f>H65</f>
        <v>0.10949605621615098</v>
      </c>
      <c r="J65" s="124"/>
    </row>
    <row r="66" spans="1:10" x14ac:dyDescent="0.25">
      <c r="A66" s="220"/>
      <c r="B66" s="233"/>
      <c r="C66" s="223"/>
      <c r="D66" s="261">
        <f>TABELAS!D9</f>
        <v>6.13E-2</v>
      </c>
      <c r="E66" s="261">
        <f>TABELAS!E9</f>
        <v>0.28270000000000001</v>
      </c>
      <c r="F66" s="261">
        <f>TABELAS!F9</f>
        <v>0.13500000000000001</v>
      </c>
      <c r="G66" s="261">
        <f>TABELAS!G9</f>
        <v>0.1</v>
      </c>
      <c r="H66" s="261">
        <f>TABELAS!H9</f>
        <v>0.42099999999999999</v>
      </c>
      <c r="I66" s="261">
        <v>0</v>
      </c>
      <c r="J66" s="124"/>
    </row>
    <row r="67" spans="1:10" ht="15.75" thickBot="1" x14ac:dyDescent="0.3">
      <c r="A67" s="220"/>
      <c r="B67" s="234"/>
      <c r="C67" s="223"/>
      <c r="D67" s="136">
        <f t="shared" ref="D67:I67" si="11">D66*D65</f>
        <v>6.7121082460500549E-3</v>
      </c>
      <c r="E67" s="136">
        <f t="shared" si="11"/>
        <v>3.0954535092305883E-2</v>
      </c>
      <c r="F67" s="136">
        <f t="shared" si="11"/>
        <v>1.4781967589180383E-2</v>
      </c>
      <c r="G67" s="136">
        <f t="shared" si="11"/>
        <v>1.0949605621615099E-2</v>
      </c>
      <c r="H67" s="136">
        <f t="shared" si="11"/>
        <v>4.6097839666999561E-2</v>
      </c>
      <c r="I67" s="136">
        <f t="shared" si="11"/>
        <v>0</v>
      </c>
      <c r="J67" s="124"/>
    </row>
    <row r="68" spans="1:10" x14ac:dyDescent="0.25">
      <c r="A68" s="135"/>
      <c r="B68" s="135"/>
      <c r="C68" s="250"/>
      <c r="D68" s="262"/>
      <c r="E68" s="262"/>
      <c r="F68" s="262"/>
      <c r="G68" s="262"/>
      <c r="H68" s="262"/>
      <c r="I68" s="262"/>
      <c r="J68" s="129"/>
    </row>
    <row r="69" spans="1:10" x14ac:dyDescent="0.25">
      <c r="A69" s="221" t="s">
        <v>69</v>
      </c>
      <c r="B69" s="235">
        <f>B8+B13+B18+B23+B28+B33+B38+B43+B48+B53+B58+B63</f>
        <v>200048.11</v>
      </c>
      <c r="C69" s="133"/>
      <c r="D69" s="133"/>
      <c r="E69" s="133"/>
      <c r="F69" s="133"/>
      <c r="G69" s="133"/>
      <c r="H69" s="133"/>
      <c r="I69" s="133"/>
      <c r="J69" s="239" t="e">
        <f>J8+J13+J18+J23+J28+J33+J38+J43+J48+J53+J58+J63</f>
        <v>#DIV/0!</v>
      </c>
    </row>
    <row r="72" spans="1:10" x14ac:dyDescent="0.25">
      <c r="D72" s="52" t="s">
        <v>95</v>
      </c>
      <c r="E72" s="52" t="s">
        <v>96</v>
      </c>
    </row>
    <row r="73" spans="1:10" x14ac:dyDescent="0.25">
      <c r="D73" s="53">
        <f>J63</f>
        <v>21904.479098494754</v>
      </c>
      <c r="E73" s="53">
        <f>'SN industria'!J54</f>
        <v>41353.109115792817</v>
      </c>
    </row>
    <row r="74" spans="1:10" x14ac:dyDescent="0.25">
      <c r="D74" s="282">
        <f>D73+E73</f>
        <v>63257.588214287571</v>
      </c>
      <c r="E74" s="283"/>
    </row>
  </sheetData>
  <mergeCells count="4">
    <mergeCell ref="A5:J5"/>
    <mergeCell ref="B6:J6"/>
    <mergeCell ref="D74:E74"/>
    <mergeCell ref="A1:J4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89980-0D03-43F9-ACDF-2EF8FA24EB3E}">
  <dimension ref="A1:O65"/>
  <sheetViews>
    <sheetView zoomScale="85" zoomScaleNormal="85" workbookViewId="0">
      <selection activeCell="B4" sqref="B4"/>
    </sheetView>
  </sheetViews>
  <sheetFormatPr defaultRowHeight="15" x14ac:dyDescent="0.25"/>
  <cols>
    <col min="1" max="1" width="22" customWidth="1"/>
    <col min="2" max="2" width="21" customWidth="1"/>
    <col min="3" max="3" width="22.85546875" customWidth="1"/>
    <col min="4" max="4" width="19.28515625" customWidth="1"/>
    <col min="5" max="5" width="16.140625" customWidth="1"/>
    <col min="6" max="6" width="18.28515625" customWidth="1"/>
    <col min="7" max="7" width="18.140625" customWidth="1"/>
    <col min="8" max="8" width="20.140625" customWidth="1"/>
    <col min="9" max="9" width="17.5703125" customWidth="1"/>
    <col min="10" max="10" width="18.7109375" customWidth="1"/>
    <col min="12" max="12" width="11.85546875" bestFit="1" customWidth="1"/>
    <col min="13" max="13" width="18.85546875" customWidth="1"/>
    <col min="14" max="14" width="13" customWidth="1"/>
    <col min="15" max="15" width="26.28515625" customWidth="1"/>
  </cols>
  <sheetData>
    <row r="1" spans="1:15" ht="25.9" customHeight="1" thickBot="1" x14ac:dyDescent="0.3">
      <c r="A1" s="270" t="s">
        <v>68</v>
      </c>
      <c r="B1" s="270"/>
      <c r="C1" s="270"/>
      <c r="D1" s="270"/>
      <c r="E1" s="270"/>
      <c r="F1" s="270"/>
      <c r="G1" s="270"/>
      <c r="H1" s="270"/>
      <c r="I1" s="270"/>
      <c r="J1" s="270"/>
      <c r="L1" s="293" t="s">
        <v>98</v>
      </c>
      <c r="M1" s="293"/>
      <c r="N1" s="293"/>
      <c r="O1" s="293"/>
    </row>
    <row r="2" spans="1:15" ht="16.5" thickBot="1" x14ac:dyDescent="0.3">
      <c r="A2" s="3" t="s">
        <v>66</v>
      </c>
      <c r="B2" s="271" t="s">
        <v>70</v>
      </c>
      <c r="C2" s="272"/>
      <c r="D2" s="272"/>
      <c r="E2" s="272"/>
      <c r="F2" s="272"/>
      <c r="G2" s="272"/>
      <c r="H2" s="272"/>
      <c r="I2" s="272"/>
      <c r="J2" s="273"/>
      <c r="L2" s="59"/>
      <c r="M2" s="59" t="s">
        <v>100</v>
      </c>
      <c r="N2" s="59" t="s">
        <v>101</v>
      </c>
      <c r="O2" s="59" t="s">
        <v>102</v>
      </c>
    </row>
    <row r="3" spans="1:15" ht="16.5" thickBot="1" x14ac:dyDescent="0.3">
      <c r="A3" s="4" t="s">
        <v>5</v>
      </c>
      <c r="B3" s="58" t="s">
        <v>6</v>
      </c>
      <c r="C3" s="58" t="s">
        <v>7</v>
      </c>
      <c r="D3" s="62" t="s">
        <v>8</v>
      </c>
      <c r="E3" s="62" t="s">
        <v>9</v>
      </c>
      <c r="F3" s="62" t="s">
        <v>10</v>
      </c>
      <c r="G3" s="62" t="s">
        <v>11</v>
      </c>
      <c r="H3" s="62" t="s">
        <v>64</v>
      </c>
      <c r="I3" s="63" t="s">
        <v>53</v>
      </c>
      <c r="J3" s="58"/>
      <c r="L3" s="50">
        <v>44562</v>
      </c>
      <c r="M3" s="174">
        <f>J4</f>
        <v>5280</v>
      </c>
      <c r="N3" s="175">
        <v>14791.15</v>
      </c>
      <c r="O3" s="60">
        <f t="shared" ref="O3:O15" si="0">M3-N3</f>
        <v>-9511.15</v>
      </c>
    </row>
    <row r="4" spans="1:15" x14ac:dyDescent="0.25">
      <c r="A4" s="5">
        <v>45261</v>
      </c>
      <c r="B4" s="6">
        <v>50000</v>
      </c>
      <c r="C4" s="64">
        <f>B4*12</f>
        <v>600000</v>
      </c>
      <c r="D4" s="196">
        <f>B4*D8</f>
        <v>156.28800000000001</v>
      </c>
      <c r="E4" s="196">
        <f>B4*E8</f>
        <v>720.19200000000001</v>
      </c>
      <c r="F4" s="196">
        <f>B4*F8</f>
        <v>211.20000000000002</v>
      </c>
      <c r="G4" s="196">
        <f>B4*G8</f>
        <v>184.8</v>
      </c>
      <c r="H4" s="196">
        <f>B4*H8</f>
        <v>2291.52</v>
      </c>
      <c r="I4" s="197">
        <f>B4*I8</f>
        <v>1716.0000000000002</v>
      </c>
      <c r="J4" s="51">
        <f>SUM(D4:I4)</f>
        <v>5280</v>
      </c>
      <c r="L4" s="50">
        <v>44593</v>
      </c>
      <c r="M4" s="174">
        <f>J9</f>
        <v>5280</v>
      </c>
      <c r="N4" s="175">
        <v>17225.88</v>
      </c>
      <c r="O4" s="60">
        <f t="shared" si="0"/>
        <v>-11945.880000000001</v>
      </c>
    </row>
    <row r="5" spans="1:15" x14ac:dyDescent="0.25">
      <c r="A5" s="65" t="s">
        <v>48</v>
      </c>
      <c r="B5" s="65" t="s">
        <v>50</v>
      </c>
      <c r="C5" s="20" t="s">
        <v>51</v>
      </c>
      <c r="D5" s="173" t="s">
        <v>63</v>
      </c>
      <c r="E5" s="173" t="s">
        <v>63</v>
      </c>
      <c r="F5" s="173" t="s">
        <v>63</v>
      </c>
      <c r="G5" s="173" t="s">
        <v>63</v>
      </c>
      <c r="H5" s="173" t="s">
        <v>63</v>
      </c>
      <c r="I5" s="173" t="s">
        <v>63</v>
      </c>
      <c r="J5" s="187"/>
      <c r="L5" s="50">
        <v>44621</v>
      </c>
      <c r="M5" s="174">
        <f>J14</f>
        <v>6020</v>
      </c>
      <c r="N5" s="175">
        <v>21331.08</v>
      </c>
      <c r="O5" s="60">
        <f t="shared" si="0"/>
        <v>-15311.080000000002</v>
      </c>
    </row>
    <row r="6" spans="1:15" x14ac:dyDescent="0.25">
      <c r="A6" s="65" t="s">
        <v>49</v>
      </c>
      <c r="B6" s="67">
        <f>TABELAS!B25</f>
        <v>0.13500000000000001</v>
      </c>
      <c r="C6" s="21">
        <f>TABELAS!C25</f>
        <v>17640</v>
      </c>
      <c r="D6" s="182">
        <f>((C4*B6)-C6)/C4</f>
        <v>0.1056</v>
      </c>
      <c r="E6" s="183">
        <f>D6</f>
        <v>0.1056</v>
      </c>
      <c r="F6" s="183">
        <f>E6</f>
        <v>0.1056</v>
      </c>
      <c r="G6" s="183">
        <f>F6</f>
        <v>0.1056</v>
      </c>
      <c r="H6" s="183">
        <f>G6</f>
        <v>0.1056</v>
      </c>
      <c r="I6" s="183">
        <f>H6</f>
        <v>0.1056</v>
      </c>
      <c r="J6" s="187"/>
      <c r="L6" s="50">
        <v>44652</v>
      </c>
      <c r="M6" s="174">
        <f>J19</f>
        <v>5772.5</v>
      </c>
      <c r="N6" s="175">
        <v>18127.09</v>
      </c>
      <c r="O6" s="60">
        <f t="shared" si="0"/>
        <v>-12354.59</v>
      </c>
    </row>
    <row r="7" spans="1:15" x14ac:dyDescent="0.25">
      <c r="A7" s="52"/>
      <c r="B7" s="52"/>
      <c r="D7" s="192">
        <v>2.9600000000000001E-2</v>
      </c>
      <c r="E7" s="192">
        <v>0.13639999999999999</v>
      </c>
      <c r="F7" s="192">
        <v>0.04</v>
      </c>
      <c r="G7" s="192">
        <v>3.5000000000000003E-2</v>
      </c>
      <c r="H7" s="192">
        <v>0.434</v>
      </c>
      <c r="I7" s="192">
        <v>0.32500000000000001</v>
      </c>
      <c r="J7" s="187"/>
      <c r="L7" s="50">
        <v>44682</v>
      </c>
      <c r="M7" s="174">
        <f>J24</f>
        <v>5624</v>
      </c>
      <c r="N7" s="175">
        <v>26870.83</v>
      </c>
      <c r="O7" s="60">
        <f t="shared" si="0"/>
        <v>-21246.83</v>
      </c>
    </row>
    <row r="8" spans="1:15" ht="15.75" thickBot="1" x14ac:dyDescent="0.3">
      <c r="A8" s="52"/>
      <c r="B8" s="52"/>
      <c r="D8" s="184">
        <f t="shared" ref="D8:I8" si="1">D7*D6</f>
        <v>3.12576E-3</v>
      </c>
      <c r="E8" s="184">
        <f t="shared" si="1"/>
        <v>1.4403839999999999E-2</v>
      </c>
      <c r="F8" s="184">
        <f t="shared" si="1"/>
        <v>4.2240000000000003E-3</v>
      </c>
      <c r="G8" s="184">
        <f t="shared" si="1"/>
        <v>3.6960000000000005E-3</v>
      </c>
      <c r="H8" s="184">
        <f t="shared" si="1"/>
        <v>4.58304E-2</v>
      </c>
      <c r="I8" s="184">
        <f t="shared" si="1"/>
        <v>3.4320000000000003E-2</v>
      </c>
      <c r="J8" s="187"/>
      <c r="L8" s="50">
        <v>44713</v>
      </c>
      <c r="M8" s="174">
        <f>J29</f>
        <v>5525</v>
      </c>
      <c r="N8" s="175">
        <v>23988.799999999999</v>
      </c>
      <c r="O8" s="60">
        <f t="shared" si="0"/>
        <v>-18463.8</v>
      </c>
    </row>
    <row r="9" spans="1:15" x14ac:dyDescent="0.25">
      <c r="A9" s="9">
        <v>44593</v>
      </c>
      <c r="B9" s="10">
        <v>50000</v>
      </c>
      <c r="C9" s="186">
        <f>50000*12/1</f>
        <v>600000</v>
      </c>
      <c r="D9" s="198">
        <f>B9*D13</f>
        <v>156.28800000000001</v>
      </c>
      <c r="E9" s="198">
        <f>B9*E13</f>
        <v>720.19200000000001</v>
      </c>
      <c r="F9" s="198">
        <f>B9*F13</f>
        <v>211.20000000000002</v>
      </c>
      <c r="G9" s="198">
        <f>B9*G13</f>
        <v>184.8</v>
      </c>
      <c r="H9" s="198">
        <f>B9*H13</f>
        <v>2291.52</v>
      </c>
      <c r="I9" s="198">
        <f>B9*I13</f>
        <v>1716.0000000000002</v>
      </c>
      <c r="J9" s="188">
        <f>SUM(D9:I9)</f>
        <v>5280</v>
      </c>
      <c r="L9" s="50">
        <v>44743</v>
      </c>
      <c r="M9" s="174">
        <f>J34</f>
        <v>5454.2857142857147</v>
      </c>
      <c r="N9" s="175">
        <v>21135.72</v>
      </c>
      <c r="O9" s="60">
        <f t="shared" si="0"/>
        <v>-15681.434285714287</v>
      </c>
    </row>
    <row r="10" spans="1:15" x14ac:dyDescent="0.25">
      <c r="A10" s="65" t="s">
        <v>48</v>
      </c>
      <c r="B10" s="65" t="s">
        <v>50</v>
      </c>
      <c r="C10" s="20" t="s">
        <v>51</v>
      </c>
      <c r="D10" s="173" t="s">
        <v>63</v>
      </c>
      <c r="E10" s="173" t="s">
        <v>63</v>
      </c>
      <c r="F10" s="173" t="s">
        <v>63</v>
      </c>
      <c r="G10" s="173" t="s">
        <v>63</v>
      </c>
      <c r="H10" s="173" t="s">
        <v>63</v>
      </c>
      <c r="I10" s="173" t="s">
        <v>63</v>
      </c>
      <c r="J10" s="187"/>
      <c r="L10" s="50">
        <v>44774</v>
      </c>
      <c r="M10" s="174">
        <f>J39</f>
        <v>5463.7500000000009</v>
      </c>
      <c r="N10" s="175">
        <v>30632.19</v>
      </c>
      <c r="O10" s="60">
        <f t="shared" si="0"/>
        <v>-25168.44</v>
      </c>
    </row>
    <row r="11" spans="1:15" x14ac:dyDescent="0.25">
      <c r="A11" s="65" t="s">
        <v>97</v>
      </c>
      <c r="B11" s="67">
        <f>B6</f>
        <v>0.13500000000000001</v>
      </c>
      <c r="C11" s="21">
        <f>C6</f>
        <v>17640</v>
      </c>
      <c r="D11" s="182">
        <f>((C9*B11)-C11)/C9</f>
        <v>0.1056</v>
      </c>
      <c r="E11" s="183">
        <f>D11</f>
        <v>0.1056</v>
      </c>
      <c r="F11" s="183">
        <f>E11</f>
        <v>0.1056</v>
      </c>
      <c r="G11" s="183">
        <f>F11</f>
        <v>0.1056</v>
      </c>
      <c r="H11" s="183">
        <f>G11</f>
        <v>0.1056</v>
      </c>
      <c r="I11" s="183">
        <f>H11</f>
        <v>0.1056</v>
      </c>
      <c r="J11" s="187"/>
      <c r="L11" s="50">
        <v>44805</v>
      </c>
      <c r="M11" s="174">
        <f>J44</f>
        <v>5443.333333333333</v>
      </c>
      <c r="N11" s="175">
        <v>27920.89</v>
      </c>
      <c r="O11" s="60">
        <f t="shared" si="0"/>
        <v>-22477.556666666667</v>
      </c>
    </row>
    <row r="12" spans="1:15" x14ac:dyDescent="0.25">
      <c r="A12" s="52"/>
      <c r="B12" s="52"/>
      <c r="D12" s="183">
        <v>2.9600000000000001E-2</v>
      </c>
      <c r="E12" s="183">
        <v>0.13639999999999999</v>
      </c>
      <c r="F12" s="183">
        <v>0.04</v>
      </c>
      <c r="G12" s="183">
        <v>3.5000000000000003E-2</v>
      </c>
      <c r="H12" s="183">
        <v>0.434</v>
      </c>
      <c r="I12" s="183">
        <v>0.32500000000000001</v>
      </c>
      <c r="J12" s="187"/>
      <c r="L12" s="50">
        <v>44835</v>
      </c>
      <c r="M12" s="174">
        <f>J49</f>
        <v>5427.0000000000009</v>
      </c>
      <c r="N12" s="175">
        <v>25334.11</v>
      </c>
      <c r="O12" s="60">
        <f t="shared" si="0"/>
        <v>-19907.11</v>
      </c>
    </row>
    <row r="13" spans="1:15" ht="15.75" thickBot="1" x14ac:dyDescent="0.3">
      <c r="A13" s="52"/>
      <c r="B13" s="52"/>
      <c r="D13" s="184">
        <f t="shared" ref="D13:I13" si="2">D12*D11</f>
        <v>3.12576E-3</v>
      </c>
      <c r="E13" s="184">
        <f t="shared" si="2"/>
        <v>1.4403839999999999E-2</v>
      </c>
      <c r="F13" s="184">
        <f t="shared" si="2"/>
        <v>4.2240000000000003E-3</v>
      </c>
      <c r="G13" s="184">
        <f t="shared" si="2"/>
        <v>3.6960000000000005E-3</v>
      </c>
      <c r="H13" s="184">
        <f t="shared" si="2"/>
        <v>4.58304E-2</v>
      </c>
      <c r="I13" s="184">
        <f t="shared" si="2"/>
        <v>3.4320000000000003E-2</v>
      </c>
      <c r="J13" s="187"/>
      <c r="L13" s="50">
        <v>44866</v>
      </c>
      <c r="M13" s="174">
        <f>J54</f>
        <v>5413.636363636364</v>
      </c>
      <c r="N13" s="175">
        <v>23210.14</v>
      </c>
      <c r="O13" s="60">
        <f t="shared" si="0"/>
        <v>-17796.503636363635</v>
      </c>
    </row>
    <row r="14" spans="1:15" x14ac:dyDescent="0.25">
      <c r="A14" s="9">
        <v>44621</v>
      </c>
      <c r="B14" s="10">
        <v>50000</v>
      </c>
      <c r="C14" s="186">
        <f>(B14+B4+B9)*12/2</f>
        <v>900000</v>
      </c>
      <c r="D14" s="198">
        <f>B14*D18</f>
        <v>178.19200000000001</v>
      </c>
      <c r="E14" s="198">
        <f>B14*E18</f>
        <v>821.12799999999993</v>
      </c>
      <c r="F14" s="198">
        <f>B14*F18</f>
        <v>240.8</v>
      </c>
      <c r="G14" s="198">
        <f>B14*G18</f>
        <v>210.7</v>
      </c>
      <c r="H14" s="198">
        <f>B14*H18</f>
        <v>2612.6799999999998</v>
      </c>
      <c r="I14" s="198">
        <f>B14*I18</f>
        <v>1956.5</v>
      </c>
      <c r="J14" s="188">
        <f>SUM(D14:I14)</f>
        <v>6020</v>
      </c>
      <c r="L14" s="50">
        <v>44896</v>
      </c>
      <c r="M14" s="174">
        <f>J59</f>
        <v>5402.5000000000018</v>
      </c>
      <c r="N14" s="175">
        <v>15146.07</v>
      </c>
      <c r="O14" s="60">
        <f t="shared" si="0"/>
        <v>-9743.5699999999979</v>
      </c>
    </row>
    <row r="15" spans="1:15" x14ac:dyDescent="0.25">
      <c r="A15" s="65" t="s">
        <v>48</v>
      </c>
      <c r="B15" s="65" t="s">
        <v>50</v>
      </c>
      <c r="C15" s="20" t="s">
        <v>51</v>
      </c>
      <c r="D15" s="173" t="s">
        <v>63</v>
      </c>
      <c r="E15" s="173" t="s">
        <v>63</v>
      </c>
      <c r="F15" s="173" t="s">
        <v>63</v>
      </c>
      <c r="G15" s="173" t="s">
        <v>63</v>
      </c>
      <c r="H15" s="173" t="s">
        <v>63</v>
      </c>
      <c r="I15" s="173" t="s">
        <v>63</v>
      </c>
      <c r="J15" s="187"/>
      <c r="L15" s="185" t="s">
        <v>99</v>
      </c>
      <c r="M15" s="60">
        <f>SUM(M3:M14)</f>
        <v>66106.005411255421</v>
      </c>
      <c r="N15" s="175">
        <f>SUM(N3:N14)</f>
        <v>265713.95</v>
      </c>
      <c r="O15" s="60">
        <f t="shared" si="0"/>
        <v>-199607.94458874461</v>
      </c>
    </row>
    <row r="16" spans="1:15" x14ac:dyDescent="0.25">
      <c r="A16" s="65" t="s">
        <v>97</v>
      </c>
      <c r="B16" s="67">
        <f>TABELAS!B26</f>
        <v>0.16</v>
      </c>
      <c r="C16" s="21">
        <f>TABELAS!C26</f>
        <v>35640</v>
      </c>
      <c r="D16" s="182">
        <f>((C14*B16)-C16)/C14</f>
        <v>0.12039999999999999</v>
      </c>
      <c r="E16" s="183">
        <f>D16</f>
        <v>0.12039999999999999</v>
      </c>
      <c r="F16" s="183">
        <f>E16</f>
        <v>0.12039999999999999</v>
      </c>
      <c r="G16" s="183">
        <f>F16</f>
        <v>0.12039999999999999</v>
      </c>
      <c r="H16" s="183">
        <f>G16</f>
        <v>0.12039999999999999</v>
      </c>
      <c r="I16" s="183">
        <f>H16</f>
        <v>0.12039999999999999</v>
      </c>
      <c r="J16" s="187"/>
    </row>
    <row r="17" spans="1:15" x14ac:dyDescent="0.25">
      <c r="A17" s="52"/>
      <c r="B17" s="52"/>
      <c r="D17" s="183">
        <v>2.9600000000000001E-2</v>
      </c>
      <c r="E17" s="183">
        <v>0.13639999999999999</v>
      </c>
      <c r="F17" s="183">
        <v>0.04</v>
      </c>
      <c r="G17" s="183">
        <v>3.5000000000000003E-2</v>
      </c>
      <c r="H17" s="183">
        <v>0.434</v>
      </c>
      <c r="I17" s="183">
        <v>0.32500000000000001</v>
      </c>
      <c r="J17" s="187"/>
      <c r="N17" s="59" t="s">
        <v>103</v>
      </c>
      <c r="O17" s="60">
        <f>O15/12</f>
        <v>-16633.995382395384</v>
      </c>
    </row>
    <row r="18" spans="1:15" ht="15.75" thickBot="1" x14ac:dyDescent="0.3">
      <c r="A18" s="52"/>
      <c r="B18" s="52"/>
      <c r="D18" s="184">
        <f t="shared" ref="D18:I18" si="3">D17*D16</f>
        <v>3.56384E-3</v>
      </c>
      <c r="E18" s="184">
        <f t="shared" si="3"/>
        <v>1.6422559999999999E-2</v>
      </c>
      <c r="F18" s="184">
        <f t="shared" si="3"/>
        <v>4.816E-3</v>
      </c>
      <c r="G18" s="184">
        <f t="shared" si="3"/>
        <v>4.2139999999999999E-3</v>
      </c>
      <c r="H18" s="184">
        <f t="shared" si="3"/>
        <v>5.2253599999999997E-2</v>
      </c>
      <c r="I18" s="184">
        <f t="shared" si="3"/>
        <v>3.9129999999999998E-2</v>
      </c>
      <c r="J18" s="187"/>
    </row>
    <row r="19" spans="1:15" x14ac:dyDescent="0.25">
      <c r="A19" s="9">
        <v>44652</v>
      </c>
      <c r="B19" s="10">
        <v>50000</v>
      </c>
      <c r="C19" s="186">
        <f>(B19+B9+B14+B4)*12/3</f>
        <v>800000</v>
      </c>
      <c r="D19" s="198">
        <f>B19*D23</f>
        <v>170.86600000000001</v>
      </c>
      <c r="E19" s="198">
        <f>B19*E23</f>
        <v>787.36899999999991</v>
      </c>
      <c r="F19" s="198">
        <f>B19*F23</f>
        <v>230.89999999999998</v>
      </c>
      <c r="G19" s="198">
        <f>B19*G23</f>
        <v>202.03749999999999</v>
      </c>
      <c r="H19" s="198">
        <f>B19*H23</f>
        <v>2505.2649999999999</v>
      </c>
      <c r="I19" s="198">
        <f>B19*I23</f>
        <v>1876.0625</v>
      </c>
      <c r="J19" s="188">
        <f>SUM(D19:I19)</f>
        <v>5772.5</v>
      </c>
    </row>
    <row r="20" spans="1:15" x14ac:dyDescent="0.25">
      <c r="A20" s="65" t="s">
        <v>48</v>
      </c>
      <c r="B20" s="65" t="s">
        <v>50</v>
      </c>
      <c r="C20" s="20" t="s">
        <v>51</v>
      </c>
      <c r="D20" s="173" t="s">
        <v>63</v>
      </c>
      <c r="E20" s="173" t="s">
        <v>63</v>
      </c>
      <c r="F20" s="173" t="s">
        <v>63</v>
      </c>
      <c r="G20" s="173" t="s">
        <v>63</v>
      </c>
      <c r="H20" s="173" t="s">
        <v>63</v>
      </c>
      <c r="I20" s="173" t="s">
        <v>63</v>
      </c>
      <c r="J20" s="187"/>
    </row>
    <row r="21" spans="1:15" x14ac:dyDescent="0.25">
      <c r="A21" s="65" t="s">
        <v>97</v>
      </c>
      <c r="B21" s="67">
        <f>B16</f>
        <v>0.16</v>
      </c>
      <c r="C21" s="21">
        <f>C16</f>
        <v>35640</v>
      </c>
      <c r="D21" s="182">
        <f>((C19*B21)-C21)/C19</f>
        <v>0.11545</v>
      </c>
      <c r="E21" s="183">
        <f>D21</f>
        <v>0.11545</v>
      </c>
      <c r="F21" s="183">
        <f>E21</f>
        <v>0.11545</v>
      </c>
      <c r="G21" s="183">
        <f>F21</f>
        <v>0.11545</v>
      </c>
      <c r="H21" s="183">
        <f>G21</f>
        <v>0.11545</v>
      </c>
      <c r="I21" s="183">
        <f>H21</f>
        <v>0.11545</v>
      </c>
      <c r="J21" s="187"/>
    </row>
    <row r="22" spans="1:15" x14ac:dyDescent="0.25">
      <c r="A22" s="52"/>
      <c r="B22" s="52"/>
      <c r="D22" s="183">
        <v>2.9600000000000001E-2</v>
      </c>
      <c r="E22" s="183">
        <v>0.13639999999999999</v>
      </c>
      <c r="F22" s="183">
        <v>0.04</v>
      </c>
      <c r="G22" s="183">
        <v>3.5000000000000003E-2</v>
      </c>
      <c r="H22" s="183">
        <v>0.434</v>
      </c>
      <c r="I22" s="183">
        <v>0.32500000000000001</v>
      </c>
      <c r="J22" s="187"/>
    </row>
    <row r="23" spans="1:15" ht="15.75" thickBot="1" x14ac:dyDescent="0.3">
      <c r="A23" s="52"/>
      <c r="B23" s="52"/>
      <c r="D23" s="184">
        <f t="shared" ref="D23:I23" si="4">D22*D21</f>
        <v>3.4173200000000002E-3</v>
      </c>
      <c r="E23" s="184">
        <f t="shared" si="4"/>
        <v>1.5747379999999998E-2</v>
      </c>
      <c r="F23" s="184">
        <f t="shared" si="4"/>
        <v>4.6179999999999997E-3</v>
      </c>
      <c r="G23" s="184">
        <f t="shared" si="4"/>
        <v>4.0407500000000001E-3</v>
      </c>
      <c r="H23" s="184">
        <f t="shared" si="4"/>
        <v>5.0105299999999998E-2</v>
      </c>
      <c r="I23" s="184">
        <f t="shared" si="4"/>
        <v>3.7521249999999999E-2</v>
      </c>
      <c r="J23" s="187"/>
    </row>
    <row r="24" spans="1:15" x14ac:dyDescent="0.25">
      <c r="A24" s="9">
        <v>44682</v>
      </c>
      <c r="B24" s="10">
        <v>50000</v>
      </c>
      <c r="C24" s="186">
        <f>(B24+B14+B19+B9+B4)*12/4</f>
        <v>750000</v>
      </c>
      <c r="D24" s="198">
        <f>B24*D28</f>
        <v>156.34719999999999</v>
      </c>
      <c r="E24" s="198">
        <f>B24*E28</f>
        <v>720.99680000000001</v>
      </c>
      <c r="F24" s="198">
        <f>B24*F28</f>
        <v>224.96</v>
      </c>
      <c r="G24" s="198">
        <f>B24*G28</f>
        <v>196.84</v>
      </c>
      <c r="H24" s="198">
        <f>B24*H28</f>
        <v>2440.8159999999998</v>
      </c>
      <c r="I24" s="198">
        <f>B24*I28</f>
        <v>1884.04</v>
      </c>
      <c r="J24" s="188">
        <f>SUM(D24:I24)</f>
        <v>5624</v>
      </c>
    </row>
    <row r="25" spans="1:15" x14ac:dyDescent="0.25">
      <c r="A25" s="65" t="s">
        <v>48</v>
      </c>
      <c r="B25" s="65" t="s">
        <v>50</v>
      </c>
      <c r="C25" s="20" t="s">
        <v>51</v>
      </c>
      <c r="D25" s="173" t="s">
        <v>63</v>
      </c>
      <c r="E25" s="173" t="s">
        <v>63</v>
      </c>
      <c r="F25" s="173" t="s">
        <v>63</v>
      </c>
      <c r="G25" s="173" t="s">
        <v>63</v>
      </c>
      <c r="H25" s="173" t="s">
        <v>63</v>
      </c>
      <c r="I25" s="173" t="s">
        <v>63</v>
      </c>
      <c r="J25" s="187"/>
    </row>
    <row r="26" spans="1:15" x14ac:dyDescent="0.25">
      <c r="A26" s="65" t="s">
        <v>97</v>
      </c>
      <c r="B26" s="67">
        <f>B21</f>
        <v>0.16</v>
      </c>
      <c r="C26" s="21">
        <f>C21</f>
        <v>35640</v>
      </c>
      <c r="D26" s="182">
        <f>((C24*B26)-C26)/C24</f>
        <v>0.11248</v>
      </c>
      <c r="E26" s="183">
        <f>D26</f>
        <v>0.11248</v>
      </c>
      <c r="F26" s="183">
        <f>E26</f>
        <v>0.11248</v>
      </c>
      <c r="G26" s="183">
        <f>F26</f>
        <v>0.11248</v>
      </c>
      <c r="H26" s="183">
        <f>G26</f>
        <v>0.11248</v>
      </c>
      <c r="I26" s="183">
        <f>H26</f>
        <v>0.11248</v>
      </c>
      <c r="J26" s="187"/>
    </row>
    <row r="27" spans="1:15" x14ac:dyDescent="0.25">
      <c r="A27" s="52"/>
      <c r="B27" s="52"/>
      <c r="D27" s="183">
        <v>2.7799999999999998E-2</v>
      </c>
      <c r="E27" s="183">
        <v>0.12820000000000001</v>
      </c>
      <c r="F27" s="183">
        <v>0.04</v>
      </c>
      <c r="G27" s="183">
        <v>3.5000000000000003E-2</v>
      </c>
      <c r="H27" s="183">
        <v>0.434</v>
      </c>
      <c r="I27" s="183">
        <v>0.33500000000000002</v>
      </c>
      <c r="J27" s="187"/>
    </row>
    <row r="28" spans="1:15" ht="15.75" thickBot="1" x14ac:dyDescent="0.3">
      <c r="A28" s="52"/>
      <c r="B28" s="52"/>
      <c r="D28" s="184">
        <f t="shared" ref="D28:I28" si="5">D27*D26</f>
        <v>3.1269439999999996E-3</v>
      </c>
      <c r="E28" s="184">
        <f t="shared" si="5"/>
        <v>1.4419936000000001E-2</v>
      </c>
      <c r="F28" s="184">
        <f t="shared" si="5"/>
        <v>4.4992000000000001E-3</v>
      </c>
      <c r="G28" s="184">
        <f t="shared" si="5"/>
        <v>3.9367999999999998E-3</v>
      </c>
      <c r="H28" s="184">
        <f t="shared" si="5"/>
        <v>4.8816319999999996E-2</v>
      </c>
      <c r="I28" s="184">
        <f t="shared" si="5"/>
        <v>3.76808E-2</v>
      </c>
      <c r="J28" s="187"/>
    </row>
    <row r="29" spans="1:15" x14ac:dyDescent="0.25">
      <c r="A29" s="9">
        <v>44713</v>
      </c>
      <c r="B29" s="10">
        <v>50000</v>
      </c>
      <c r="C29" s="186">
        <f>(B29+B19+B24+B14+B9+B4)*12/5</f>
        <v>720000</v>
      </c>
      <c r="D29" s="198">
        <f>B29*D33</f>
        <v>153.595</v>
      </c>
      <c r="E29" s="198">
        <f>B29*E33</f>
        <v>708.30500000000006</v>
      </c>
      <c r="F29" s="198">
        <f>B29*F33</f>
        <v>221.00000000000003</v>
      </c>
      <c r="G29" s="198">
        <f>B29*G33</f>
        <v>193.375</v>
      </c>
      <c r="H29" s="198">
        <f>B29*H33</f>
        <v>2397.85</v>
      </c>
      <c r="I29" s="198">
        <f>B29*I33</f>
        <v>1850.875</v>
      </c>
      <c r="J29" s="188">
        <f>SUM(D29:I29)</f>
        <v>5525</v>
      </c>
    </row>
    <row r="30" spans="1:15" x14ac:dyDescent="0.25">
      <c r="A30" s="65" t="s">
        <v>48</v>
      </c>
      <c r="B30" s="65" t="s">
        <v>50</v>
      </c>
      <c r="C30" s="20" t="s">
        <v>51</v>
      </c>
      <c r="D30" s="173" t="s">
        <v>63</v>
      </c>
      <c r="E30" s="173" t="s">
        <v>63</v>
      </c>
      <c r="F30" s="173" t="s">
        <v>63</v>
      </c>
      <c r="G30" s="173" t="s">
        <v>63</v>
      </c>
      <c r="H30" s="173" t="s">
        <v>63</v>
      </c>
      <c r="I30" s="173" t="s">
        <v>63</v>
      </c>
      <c r="J30" s="187"/>
    </row>
    <row r="31" spans="1:15" x14ac:dyDescent="0.25">
      <c r="A31" s="65" t="s">
        <v>97</v>
      </c>
      <c r="B31" s="67">
        <f>B26</f>
        <v>0.16</v>
      </c>
      <c r="C31" s="21">
        <f>C26</f>
        <v>35640</v>
      </c>
      <c r="D31" s="182">
        <f>((C29*B31)-C31)/C29</f>
        <v>0.1105</v>
      </c>
      <c r="E31" s="183">
        <f>D31</f>
        <v>0.1105</v>
      </c>
      <c r="F31" s="183">
        <f>E31</f>
        <v>0.1105</v>
      </c>
      <c r="G31" s="183">
        <f>F31</f>
        <v>0.1105</v>
      </c>
      <c r="H31" s="183">
        <f>G31</f>
        <v>0.1105</v>
      </c>
      <c r="I31" s="183">
        <f>H31</f>
        <v>0.1105</v>
      </c>
      <c r="J31" s="187"/>
    </row>
    <row r="32" spans="1:15" x14ac:dyDescent="0.25">
      <c r="A32" s="52"/>
      <c r="B32" s="52"/>
      <c r="D32" s="183">
        <v>2.7799999999999998E-2</v>
      </c>
      <c r="E32" s="183">
        <v>0.12820000000000001</v>
      </c>
      <c r="F32" s="183">
        <v>0.04</v>
      </c>
      <c r="G32" s="183">
        <v>3.5000000000000003E-2</v>
      </c>
      <c r="H32" s="183">
        <v>0.434</v>
      </c>
      <c r="I32" s="183">
        <v>0.33500000000000002</v>
      </c>
      <c r="J32" s="187"/>
    </row>
    <row r="33" spans="1:10" ht="15.75" thickBot="1" x14ac:dyDescent="0.3">
      <c r="A33" s="52"/>
      <c r="B33" s="52"/>
      <c r="D33" s="184">
        <f t="shared" ref="D33:I33" si="6">D32*D31</f>
        <v>3.0718999999999998E-3</v>
      </c>
      <c r="E33" s="184">
        <f t="shared" si="6"/>
        <v>1.4166100000000001E-2</v>
      </c>
      <c r="F33" s="184">
        <f t="shared" si="6"/>
        <v>4.4200000000000003E-3</v>
      </c>
      <c r="G33" s="184">
        <f t="shared" si="6"/>
        <v>3.8675000000000003E-3</v>
      </c>
      <c r="H33" s="184">
        <f t="shared" si="6"/>
        <v>4.7957E-2</v>
      </c>
      <c r="I33" s="184">
        <f t="shared" si="6"/>
        <v>3.7017500000000002E-2</v>
      </c>
      <c r="J33" s="187"/>
    </row>
    <row r="34" spans="1:10" x14ac:dyDescent="0.25">
      <c r="A34" s="9">
        <v>44743</v>
      </c>
      <c r="B34" s="10">
        <v>50000</v>
      </c>
      <c r="C34" s="186">
        <f>(B34+B24+B29+B19+B14+B9+B4)*12/6</f>
        <v>700000</v>
      </c>
      <c r="D34" s="198">
        <f>B34*D38</f>
        <v>151.62914285714285</v>
      </c>
      <c r="E34" s="198">
        <f>B34*E38</f>
        <v>699.23942857142868</v>
      </c>
      <c r="F34" s="198">
        <f>B34*F38</f>
        <v>218.17142857142861</v>
      </c>
      <c r="G34" s="198">
        <f>B34*G38</f>
        <v>190.9</v>
      </c>
      <c r="H34" s="198">
        <f>B34*H38</f>
        <v>2367.1600000000003</v>
      </c>
      <c r="I34" s="198">
        <f>B34*I38</f>
        <v>1827.1857142857145</v>
      </c>
      <c r="J34" s="188">
        <f>SUM(D34:I34)</f>
        <v>5454.2857142857147</v>
      </c>
    </row>
    <row r="35" spans="1:10" x14ac:dyDescent="0.25">
      <c r="A35" s="65" t="s">
        <v>48</v>
      </c>
      <c r="B35" s="65" t="s">
        <v>50</v>
      </c>
      <c r="C35" s="20" t="s">
        <v>51</v>
      </c>
      <c r="D35" s="173" t="s">
        <v>63</v>
      </c>
      <c r="E35" s="173" t="s">
        <v>63</v>
      </c>
      <c r="F35" s="173" t="s">
        <v>63</v>
      </c>
      <c r="G35" s="173" t="s">
        <v>63</v>
      </c>
      <c r="H35" s="173" t="s">
        <v>63</v>
      </c>
      <c r="I35" s="173" t="s">
        <v>63</v>
      </c>
      <c r="J35" s="187"/>
    </row>
    <row r="36" spans="1:10" x14ac:dyDescent="0.25">
      <c r="A36" s="65" t="s">
        <v>97</v>
      </c>
      <c r="B36" s="67">
        <f>B31</f>
        <v>0.16</v>
      </c>
      <c r="C36" s="21">
        <f>C31</f>
        <v>35640</v>
      </c>
      <c r="D36" s="182">
        <f>((C34*B36)-C36)/C34</f>
        <v>0.10908571428571429</v>
      </c>
      <c r="E36" s="183">
        <f>D36</f>
        <v>0.10908571428571429</v>
      </c>
      <c r="F36" s="183">
        <f>E36</f>
        <v>0.10908571428571429</v>
      </c>
      <c r="G36" s="183">
        <f>F36</f>
        <v>0.10908571428571429</v>
      </c>
      <c r="H36" s="183">
        <f>G36</f>
        <v>0.10908571428571429</v>
      </c>
      <c r="I36" s="183">
        <f>H36</f>
        <v>0.10908571428571429</v>
      </c>
      <c r="J36" s="187"/>
    </row>
    <row r="37" spans="1:10" x14ac:dyDescent="0.25">
      <c r="A37" s="52"/>
      <c r="B37" s="52"/>
      <c r="D37" s="183">
        <v>2.7799999999999998E-2</v>
      </c>
      <c r="E37" s="183">
        <v>0.12820000000000001</v>
      </c>
      <c r="F37" s="183">
        <v>0.04</v>
      </c>
      <c r="G37" s="183">
        <v>3.5000000000000003E-2</v>
      </c>
      <c r="H37" s="183">
        <v>0.434</v>
      </c>
      <c r="I37" s="183">
        <v>0.33500000000000002</v>
      </c>
      <c r="J37" s="187"/>
    </row>
    <row r="38" spans="1:10" ht="15.75" thickBot="1" x14ac:dyDescent="0.3">
      <c r="A38" s="52"/>
      <c r="B38" s="52"/>
      <c r="D38" s="184">
        <f t="shared" ref="D38:I38" si="7">D37*D36</f>
        <v>3.0325828571428569E-3</v>
      </c>
      <c r="E38" s="184">
        <f t="shared" si="7"/>
        <v>1.3984788571428573E-2</v>
      </c>
      <c r="F38" s="184">
        <f t="shared" si="7"/>
        <v>4.3634285714285719E-3</v>
      </c>
      <c r="G38" s="184">
        <f t="shared" si="7"/>
        <v>3.8180000000000002E-3</v>
      </c>
      <c r="H38" s="184">
        <f t="shared" si="7"/>
        <v>4.7343200000000002E-2</v>
      </c>
      <c r="I38" s="184">
        <f t="shared" si="7"/>
        <v>3.654371428571429E-2</v>
      </c>
      <c r="J38" s="187"/>
    </row>
    <row r="39" spans="1:10" x14ac:dyDescent="0.25">
      <c r="A39" s="9">
        <v>44774</v>
      </c>
      <c r="B39" s="10">
        <v>50000</v>
      </c>
      <c r="C39" s="186">
        <f>(B39+B29+B34+B24+B19+B14+B9+B4)*12/7</f>
        <v>685714.28571428568</v>
      </c>
      <c r="D39" s="198">
        <f>B39*D43</f>
        <v>151.89224999999999</v>
      </c>
      <c r="E39" s="198">
        <f>B39*E43</f>
        <v>700.45275000000015</v>
      </c>
      <c r="F39" s="198">
        <f>B39*F43</f>
        <v>218.55000000000004</v>
      </c>
      <c r="G39" s="198">
        <f>B39*G43</f>
        <v>191.23125000000005</v>
      </c>
      <c r="H39" s="198">
        <f>B39*H43</f>
        <v>2371.2675000000004</v>
      </c>
      <c r="I39" s="198">
        <f>B39*I43</f>
        <v>1830.3562500000003</v>
      </c>
      <c r="J39" s="188">
        <f>SUM(D39:I39)</f>
        <v>5463.7500000000009</v>
      </c>
    </row>
    <row r="40" spans="1:10" x14ac:dyDescent="0.25">
      <c r="A40" s="65" t="s">
        <v>48</v>
      </c>
      <c r="B40" s="65" t="s">
        <v>50</v>
      </c>
      <c r="C40" s="20" t="s">
        <v>51</v>
      </c>
      <c r="D40" s="173" t="s">
        <v>63</v>
      </c>
      <c r="E40" s="173" t="s">
        <v>63</v>
      </c>
      <c r="F40" s="173" t="s">
        <v>63</v>
      </c>
      <c r="G40" s="173" t="s">
        <v>63</v>
      </c>
      <c r="H40" s="173" t="s">
        <v>63</v>
      </c>
      <c r="I40" s="173" t="s">
        <v>63</v>
      </c>
      <c r="J40" s="187"/>
    </row>
    <row r="41" spans="1:10" x14ac:dyDescent="0.25">
      <c r="A41" s="65" t="str">
        <f>A6</f>
        <v>III</v>
      </c>
      <c r="B41" s="67">
        <f>B11</f>
        <v>0.13500000000000001</v>
      </c>
      <c r="C41" s="21">
        <f>C11</f>
        <v>17640</v>
      </c>
      <c r="D41" s="182">
        <f>((C39*B41)-C41)/C39</f>
        <v>0.10927500000000001</v>
      </c>
      <c r="E41" s="183">
        <f>D41</f>
        <v>0.10927500000000001</v>
      </c>
      <c r="F41" s="183">
        <f>E41</f>
        <v>0.10927500000000001</v>
      </c>
      <c r="G41" s="183">
        <f>F41</f>
        <v>0.10927500000000001</v>
      </c>
      <c r="H41" s="183">
        <f>G41</f>
        <v>0.10927500000000001</v>
      </c>
      <c r="I41" s="183">
        <f>H41</f>
        <v>0.10927500000000001</v>
      </c>
      <c r="J41" s="187"/>
    </row>
    <row r="42" spans="1:10" x14ac:dyDescent="0.25">
      <c r="A42" s="52"/>
      <c r="B42" s="52"/>
      <c r="D42" s="183">
        <v>2.7799999999999998E-2</v>
      </c>
      <c r="E42" s="183">
        <v>0.12820000000000001</v>
      </c>
      <c r="F42" s="183">
        <v>0.04</v>
      </c>
      <c r="G42" s="183">
        <v>3.5000000000000003E-2</v>
      </c>
      <c r="H42" s="183">
        <v>0.434</v>
      </c>
      <c r="I42" s="183">
        <v>0.33500000000000002</v>
      </c>
      <c r="J42" s="187"/>
    </row>
    <row r="43" spans="1:10" ht="15.75" thickBot="1" x14ac:dyDescent="0.3">
      <c r="A43" s="52"/>
      <c r="B43" s="52"/>
      <c r="D43" s="184">
        <f t="shared" ref="D43:I43" si="8">D42*D41</f>
        <v>3.037845E-3</v>
      </c>
      <c r="E43" s="184">
        <f t="shared" si="8"/>
        <v>1.4009055000000003E-2</v>
      </c>
      <c r="F43" s="184">
        <f t="shared" si="8"/>
        <v>4.3710000000000008E-3</v>
      </c>
      <c r="G43" s="184">
        <f t="shared" si="8"/>
        <v>3.8246250000000008E-3</v>
      </c>
      <c r="H43" s="184">
        <f t="shared" si="8"/>
        <v>4.7425350000000005E-2</v>
      </c>
      <c r="I43" s="184">
        <f t="shared" si="8"/>
        <v>3.6607125000000004E-2</v>
      </c>
      <c r="J43" s="187"/>
    </row>
    <row r="44" spans="1:10" x14ac:dyDescent="0.25">
      <c r="A44" s="9">
        <v>44805</v>
      </c>
      <c r="B44" s="10">
        <v>50000</v>
      </c>
      <c r="C44" s="186">
        <f>(B44+B34+B39+B29+B24+B19+B14+B9+B4)*12/8</f>
        <v>675000</v>
      </c>
      <c r="D44" s="198">
        <f>B44*D48</f>
        <v>161.12266666666667</v>
      </c>
      <c r="E44" s="198">
        <f>B44*E48</f>
        <v>742.4706666666666</v>
      </c>
      <c r="F44" s="198">
        <f>B44*F48</f>
        <v>217.73333333333332</v>
      </c>
      <c r="G44" s="198">
        <f>B44*G48</f>
        <v>190.51666666666668</v>
      </c>
      <c r="H44" s="198">
        <f>B44*H48</f>
        <v>2362.4066666666668</v>
      </c>
      <c r="I44" s="198">
        <f>B44*I48</f>
        <v>1769.0833333333333</v>
      </c>
      <c r="J44" s="188">
        <f>SUM(D44:I44)</f>
        <v>5443.333333333333</v>
      </c>
    </row>
    <row r="45" spans="1:10" x14ac:dyDescent="0.25">
      <c r="A45" s="65" t="s">
        <v>48</v>
      </c>
      <c r="B45" s="65" t="s">
        <v>50</v>
      </c>
      <c r="C45" s="20" t="s">
        <v>51</v>
      </c>
      <c r="D45" s="173" t="s">
        <v>63</v>
      </c>
      <c r="E45" s="173" t="s">
        <v>63</v>
      </c>
      <c r="F45" s="173" t="s">
        <v>63</v>
      </c>
      <c r="G45" s="173" t="s">
        <v>63</v>
      </c>
      <c r="H45" s="173" t="s">
        <v>63</v>
      </c>
      <c r="I45" s="173" t="s">
        <v>63</v>
      </c>
      <c r="J45" s="187"/>
    </row>
    <row r="46" spans="1:10" x14ac:dyDescent="0.25">
      <c r="A46" s="65" t="s">
        <v>97</v>
      </c>
      <c r="B46" s="67">
        <f>B41</f>
        <v>0.13500000000000001</v>
      </c>
      <c r="C46" s="21">
        <f>C41</f>
        <v>17640</v>
      </c>
      <c r="D46" s="182">
        <f>((C44*B46)-C46)/C44</f>
        <v>0.10886666666666667</v>
      </c>
      <c r="E46" s="183">
        <f>D46</f>
        <v>0.10886666666666667</v>
      </c>
      <c r="F46" s="183">
        <f>E46</f>
        <v>0.10886666666666667</v>
      </c>
      <c r="G46" s="183">
        <f>F46</f>
        <v>0.10886666666666667</v>
      </c>
      <c r="H46" s="183">
        <f>G46</f>
        <v>0.10886666666666667</v>
      </c>
      <c r="I46" s="183">
        <f>H46</f>
        <v>0.10886666666666667</v>
      </c>
      <c r="J46" s="187"/>
    </row>
    <row r="47" spans="1:10" x14ac:dyDescent="0.25">
      <c r="A47" s="52"/>
      <c r="B47" s="52"/>
      <c r="D47" s="183">
        <v>2.9600000000000001E-2</v>
      </c>
      <c r="E47" s="183">
        <v>0.13639999999999999</v>
      </c>
      <c r="F47" s="183">
        <v>0.04</v>
      </c>
      <c r="G47" s="183">
        <v>3.5000000000000003E-2</v>
      </c>
      <c r="H47" s="183">
        <v>0.434</v>
      </c>
      <c r="I47" s="183">
        <v>0.32500000000000001</v>
      </c>
      <c r="J47" s="187"/>
    </row>
    <row r="48" spans="1:10" ht="15.75" thickBot="1" x14ac:dyDescent="0.3">
      <c r="A48" s="52"/>
      <c r="B48" s="52"/>
      <c r="D48" s="184">
        <f t="shared" ref="D48:I48" si="9">D47*D46</f>
        <v>3.2224533333333333E-3</v>
      </c>
      <c r="E48" s="184">
        <f t="shared" si="9"/>
        <v>1.4849413333333332E-2</v>
      </c>
      <c r="F48" s="184">
        <f t="shared" si="9"/>
        <v>4.3546666666666664E-3</v>
      </c>
      <c r="G48" s="184">
        <f t="shared" si="9"/>
        <v>3.8103333333333335E-3</v>
      </c>
      <c r="H48" s="184">
        <f t="shared" si="9"/>
        <v>4.7248133333333331E-2</v>
      </c>
      <c r="I48" s="184">
        <f t="shared" si="9"/>
        <v>3.5381666666666665E-2</v>
      </c>
      <c r="J48" s="187"/>
    </row>
    <row r="49" spans="1:10" x14ac:dyDescent="0.25">
      <c r="A49" s="9">
        <v>44835</v>
      </c>
      <c r="B49" s="10">
        <v>50000</v>
      </c>
      <c r="C49" s="186">
        <f>(B49+B39+B44+B34+B29+B24+B19+B14+B9+B4)*12/9</f>
        <v>666666.66666666663</v>
      </c>
      <c r="D49" s="198">
        <f>B49*D53</f>
        <v>160.63920000000005</v>
      </c>
      <c r="E49" s="198">
        <f>B49*E53</f>
        <v>740.2428000000001</v>
      </c>
      <c r="F49" s="198">
        <f>B49*F53</f>
        <v>217.08</v>
      </c>
      <c r="G49" s="198">
        <f>B49*G53</f>
        <v>189.94500000000005</v>
      </c>
      <c r="H49" s="198">
        <f>B49*H53</f>
        <v>2355.3180000000002</v>
      </c>
      <c r="I49" s="198">
        <f>B49*I53</f>
        <v>1763.7750000000003</v>
      </c>
      <c r="J49" s="188">
        <f>SUM(D49:I49)</f>
        <v>5427.0000000000009</v>
      </c>
    </row>
    <row r="50" spans="1:10" x14ac:dyDescent="0.25">
      <c r="A50" s="65" t="s">
        <v>48</v>
      </c>
      <c r="B50" s="65" t="s">
        <v>50</v>
      </c>
      <c r="C50" s="20" t="s">
        <v>51</v>
      </c>
      <c r="D50" s="173" t="s">
        <v>63</v>
      </c>
      <c r="E50" s="173" t="s">
        <v>63</v>
      </c>
      <c r="F50" s="173" t="s">
        <v>63</v>
      </c>
      <c r="G50" s="173" t="s">
        <v>63</v>
      </c>
      <c r="H50" s="173" t="s">
        <v>63</v>
      </c>
      <c r="I50" s="173" t="s">
        <v>63</v>
      </c>
      <c r="J50" s="187"/>
    </row>
    <row r="51" spans="1:10" x14ac:dyDescent="0.25">
      <c r="A51" s="65" t="s">
        <v>97</v>
      </c>
      <c r="B51" s="67">
        <f>B46</f>
        <v>0.13500000000000001</v>
      </c>
      <c r="C51" s="21">
        <f>C46</f>
        <v>17640</v>
      </c>
      <c r="D51" s="182">
        <f>((C49*B51)-C51)/C49</f>
        <v>0.10854000000000001</v>
      </c>
      <c r="E51" s="183">
        <f>D51</f>
        <v>0.10854000000000001</v>
      </c>
      <c r="F51" s="183">
        <f>E51</f>
        <v>0.10854000000000001</v>
      </c>
      <c r="G51" s="183">
        <f>F51</f>
        <v>0.10854000000000001</v>
      </c>
      <c r="H51" s="183">
        <f>G51</f>
        <v>0.10854000000000001</v>
      </c>
      <c r="I51" s="183">
        <f>H51</f>
        <v>0.10854000000000001</v>
      </c>
      <c r="J51" s="187"/>
    </row>
    <row r="52" spans="1:10" x14ac:dyDescent="0.25">
      <c r="A52" s="52"/>
      <c r="B52" s="52"/>
      <c r="D52" s="183">
        <v>2.9600000000000001E-2</v>
      </c>
      <c r="E52" s="183">
        <v>0.13639999999999999</v>
      </c>
      <c r="F52" s="183">
        <v>0.04</v>
      </c>
      <c r="G52" s="183">
        <v>3.5000000000000003E-2</v>
      </c>
      <c r="H52" s="183">
        <v>0.434</v>
      </c>
      <c r="I52" s="183">
        <v>0.32500000000000001</v>
      </c>
      <c r="J52" s="187"/>
    </row>
    <row r="53" spans="1:10" ht="15.75" thickBot="1" x14ac:dyDescent="0.3">
      <c r="A53" s="52"/>
      <c r="B53" s="52"/>
      <c r="D53" s="184">
        <f t="shared" ref="D53:I53" si="10">D52*D51</f>
        <v>3.2127840000000006E-3</v>
      </c>
      <c r="E53" s="184">
        <f t="shared" si="10"/>
        <v>1.4804856000000002E-2</v>
      </c>
      <c r="F53" s="184">
        <f t="shared" si="10"/>
        <v>4.3416000000000001E-3</v>
      </c>
      <c r="G53" s="184">
        <f t="shared" si="10"/>
        <v>3.7989000000000009E-3</v>
      </c>
      <c r="H53" s="184">
        <f t="shared" si="10"/>
        <v>4.7106360000000007E-2</v>
      </c>
      <c r="I53" s="184">
        <f t="shared" si="10"/>
        <v>3.5275500000000008E-2</v>
      </c>
      <c r="J53" s="187"/>
    </row>
    <row r="54" spans="1:10" x14ac:dyDescent="0.25">
      <c r="A54" s="137">
        <v>44866</v>
      </c>
      <c r="B54" s="138">
        <v>50000</v>
      </c>
      <c r="C54" s="186">
        <f>(B54+B44+B49+B39+B34+B29+B24+B19+B14+B9+B4)*12/10</f>
        <v>660000</v>
      </c>
      <c r="D54" s="199">
        <f>B54*D58</f>
        <v>160.24363636363637</v>
      </c>
      <c r="E54" s="199">
        <f>B54*E58</f>
        <v>738.42</v>
      </c>
      <c r="F54" s="199">
        <f>B54*F58</f>
        <v>216.54545454545456</v>
      </c>
      <c r="G54" s="199">
        <f>B54*G58</f>
        <v>189.47727272727275</v>
      </c>
      <c r="H54" s="199">
        <f>B54*H58</f>
        <v>2349.5181818181818</v>
      </c>
      <c r="I54" s="199">
        <f>B54*I58</f>
        <v>1759.4318181818182</v>
      </c>
      <c r="J54" s="189">
        <f>SUM(D54:I54)</f>
        <v>5413.636363636364</v>
      </c>
    </row>
    <row r="55" spans="1:10" x14ac:dyDescent="0.25">
      <c r="A55" s="140" t="s">
        <v>48</v>
      </c>
      <c r="B55" s="140" t="s">
        <v>50</v>
      </c>
      <c r="C55" s="141" t="s">
        <v>51</v>
      </c>
      <c r="D55" s="193" t="s">
        <v>63</v>
      </c>
      <c r="E55" s="193" t="s">
        <v>63</v>
      </c>
      <c r="F55" s="193" t="s">
        <v>63</v>
      </c>
      <c r="G55" s="193" t="s">
        <v>63</v>
      </c>
      <c r="H55" s="193" t="s">
        <v>63</v>
      </c>
      <c r="I55" s="193" t="s">
        <v>63</v>
      </c>
      <c r="J55" s="190"/>
    </row>
    <row r="56" spans="1:10" x14ac:dyDescent="0.25">
      <c r="A56" s="140" t="s">
        <v>97</v>
      </c>
      <c r="B56" s="143">
        <f>B51</f>
        <v>0.13500000000000001</v>
      </c>
      <c r="C56" s="144">
        <f>C51</f>
        <v>17640</v>
      </c>
      <c r="D56" s="194">
        <f>((C54*B56)-C56)/C54</f>
        <v>0.10827272727272727</v>
      </c>
      <c r="E56" s="192">
        <f>D56</f>
        <v>0.10827272727272727</v>
      </c>
      <c r="F56" s="192">
        <f>E56</f>
        <v>0.10827272727272727</v>
      </c>
      <c r="G56" s="192">
        <f>F56</f>
        <v>0.10827272727272727</v>
      </c>
      <c r="H56" s="192">
        <f>G56</f>
        <v>0.10827272727272727</v>
      </c>
      <c r="I56" s="192">
        <f>H56</f>
        <v>0.10827272727272727</v>
      </c>
      <c r="J56" s="190"/>
    </row>
    <row r="57" spans="1:10" x14ac:dyDescent="0.25">
      <c r="A57" s="142"/>
      <c r="B57" s="217"/>
      <c r="C57" s="266"/>
      <c r="D57" s="183">
        <v>2.9600000000000001E-2</v>
      </c>
      <c r="E57" s="183">
        <v>0.13639999999999999</v>
      </c>
      <c r="F57" s="183">
        <v>0.04</v>
      </c>
      <c r="G57" s="183">
        <v>3.5000000000000003E-2</v>
      </c>
      <c r="H57" s="183">
        <v>0.434</v>
      </c>
      <c r="I57" s="183">
        <v>0.32500000000000001</v>
      </c>
      <c r="J57" s="190"/>
    </row>
    <row r="58" spans="1:10" x14ac:dyDescent="0.25">
      <c r="A58" s="142"/>
      <c r="B58" s="217"/>
      <c r="C58" s="266"/>
      <c r="D58" s="195">
        <f t="shared" ref="D58:I58" si="11">D57*D56</f>
        <v>3.2048727272727274E-3</v>
      </c>
      <c r="E58" s="195">
        <f t="shared" si="11"/>
        <v>1.4768399999999999E-2</v>
      </c>
      <c r="F58" s="195">
        <f t="shared" si="11"/>
        <v>4.330909090909091E-3</v>
      </c>
      <c r="G58" s="195">
        <f t="shared" si="11"/>
        <v>3.7895454545454547E-3</v>
      </c>
      <c r="H58" s="195">
        <f t="shared" si="11"/>
        <v>4.6990363636363636E-2</v>
      </c>
      <c r="I58" s="195">
        <f t="shared" si="11"/>
        <v>3.5188636363636366E-2</v>
      </c>
      <c r="J58" s="190"/>
    </row>
    <row r="59" spans="1:10" x14ac:dyDescent="0.25">
      <c r="A59" s="156">
        <v>44896</v>
      </c>
      <c r="B59" s="157">
        <v>50000</v>
      </c>
      <c r="C59" s="265">
        <f>(B59+B49+B54+B44+B39+B34+B29+B24+B19+B14+B9+B4)*12/11</f>
        <v>654545.45454545459</v>
      </c>
      <c r="D59" s="198">
        <f>B59*D63</f>
        <v>159.91400000000004</v>
      </c>
      <c r="E59" s="198">
        <f>B59*E63</f>
        <v>736.90100000000018</v>
      </c>
      <c r="F59" s="198">
        <f>B59*F63</f>
        <v>216.10000000000005</v>
      </c>
      <c r="G59" s="198">
        <f>B59*G63</f>
        <v>189.08750000000006</v>
      </c>
      <c r="H59" s="198">
        <f>B59*H63</f>
        <v>2344.6850000000004</v>
      </c>
      <c r="I59" s="198">
        <f>B59*I63</f>
        <v>1755.8125000000005</v>
      </c>
      <c r="J59" s="191">
        <f>SUM(D59:I59)</f>
        <v>5402.5000000000018</v>
      </c>
    </row>
    <row r="60" spans="1:10" x14ac:dyDescent="0.25">
      <c r="A60" s="173" t="s">
        <v>48</v>
      </c>
      <c r="B60" s="173" t="s">
        <v>50</v>
      </c>
      <c r="C60" s="173" t="s">
        <v>51</v>
      </c>
      <c r="D60" s="173" t="s">
        <v>63</v>
      </c>
      <c r="E60" s="173" t="s">
        <v>63</v>
      </c>
      <c r="F60" s="173" t="s">
        <v>63</v>
      </c>
      <c r="G60" s="173" t="s">
        <v>63</v>
      </c>
      <c r="H60" s="173" t="s">
        <v>63</v>
      </c>
      <c r="I60" s="173" t="s">
        <v>63</v>
      </c>
      <c r="J60" s="59"/>
    </row>
    <row r="61" spans="1:10" x14ac:dyDescent="0.25">
      <c r="A61" s="173" t="s">
        <v>97</v>
      </c>
      <c r="B61" s="180">
        <f>TABELAS!B25</f>
        <v>0.13500000000000001</v>
      </c>
      <c r="C61" s="181">
        <f>TABELAS!C25</f>
        <v>17640</v>
      </c>
      <c r="D61" s="182">
        <f>((C59*B61)-C61)/C59</f>
        <v>0.10805000000000002</v>
      </c>
      <c r="E61" s="183">
        <f>D61</f>
        <v>0.10805000000000002</v>
      </c>
      <c r="F61" s="183">
        <f>E61</f>
        <v>0.10805000000000002</v>
      </c>
      <c r="G61" s="183">
        <f>F61</f>
        <v>0.10805000000000002</v>
      </c>
      <c r="H61" s="183">
        <f>G61</f>
        <v>0.10805000000000002</v>
      </c>
      <c r="I61" s="183">
        <f>H61</f>
        <v>0.10805000000000002</v>
      </c>
      <c r="J61" s="59"/>
    </row>
    <row r="62" spans="1:10" x14ac:dyDescent="0.25">
      <c r="A62" s="59"/>
      <c r="B62" s="59"/>
      <c r="C62" s="59"/>
      <c r="D62" s="192">
        <v>2.9600000000000001E-2</v>
      </c>
      <c r="E62" s="192">
        <v>0.13639999999999999</v>
      </c>
      <c r="F62" s="192">
        <v>0.04</v>
      </c>
      <c r="G62" s="192">
        <v>3.5000000000000003E-2</v>
      </c>
      <c r="H62" s="192">
        <v>0.434</v>
      </c>
      <c r="I62" s="192">
        <v>0.32500000000000001</v>
      </c>
      <c r="J62" s="59"/>
    </row>
    <row r="63" spans="1:10" x14ac:dyDescent="0.25">
      <c r="A63" s="59"/>
      <c r="B63" s="59"/>
      <c r="C63" s="59"/>
      <c r="D63" s="184">
        <f t="shared" ref="D63:I63" si="12">D62*D61</f>
        <v>3.1982800000000008E-3</v>
      </c>
      <c r="E63" s="184">
        <f t="shared" si="12"/>
        <v>1.4738020000000003E-2</v>
      </c>
      <c r="F63" s="184">
        <f t="shared" si="12"/>
        <v>4.3220000000000012E-3</v>
      </c>
      <c r="G63" s="184">
        <f t="shared" si="12"/>
        <v>3.7817500000000013E-3</v>
      </c>
      <c r="H63" s="184">
        <f t="shared" si="12"/>
        <v>4.689370000000001E-2</v>
      </c>
      <c r="I63" s="184">
        <f t="shared" si="12"/>
        <v>3.5116250000000009E-2</v>
      </c>
      <c r="J63" s="59"/>
    </row>
    <row r="64" spans="1:10" ht="15.75" thickBot="1" x14ac:dyDescent="0.3">
      <c r="C64" s="160"/>
      <c r="D64" s="179"/>
      <c r="E64" s="179"/>
      <c r="F64" s="179"/>
      <c r="G64" s="179"/>
      <c r="H64" s="179"/>
      <c r="I64" s="179"/>
      <c r="J64" s="161"/>
    </row>
    <row r="65" spans="1:10" x14ac:dyDescent="0.25">
      <c r="A65" s="177" t="s">
        <v>69</v>
      </c>
      <c r="B65" s="178">
        <f>B4+B9+B14+B19+B24+B29+B34+B39+B44+B49+B54+B59</f>
        <v>600000</v>
      </c>
      <c r="C65" s="176"/>
      <c r="D65" s="159"/>
      <c r="E65" s="159"/>
      <c r="F65" s="159"/>
      <c r="G65" s="159"/>
      <c r="H65" s="159"/>
      <c r="I65" s="159"/>
      <c r="J65" s="158">
        <f>J4+J9+J14+J19+J24+J29+J34+J39+J44+J49+J54+J59</f>
        <v>66106.005411255421</v>
      </c>
    </row>
  </sheetData>
  <mergeCells count="3">
    <mergeCell ref="A1:J1"/>
    <mergeCell ref="B2:J2"/>
    <mergeCell ref="L1:O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859E6-0EAC-4FE7-813A-5A91AFD5B460}">
  <sheetPr>
    <pageSetUpPr fitToPage="1"/>
  </sheetPr>
  <dimension ref="A1:P85"/>
  <sheetViews>
    <sheetView topLeftCell="A6" zoomScale="70" zoomScaleNormal="70" workbookViewId="0">
      <selection activeCell="A41" sqref="A40:O41"/>
    </sheetView>
  </sheetViews>
  <sheetFormatPr defaultColWidth="9.140625" defaultRowHeight="15.75" x14ac:dyDescent="0.25"/>
  <cols>
    <col min="1" max="2" width="14.5703125" style="1" customWidth="1"/>
    <col min="3" max="3" width="16.28515625" style="1" customWidth="1"/>
    <col min="4" max="4" width="15.7109375" style="1" bestFit="1" customWidth="1"/>
    <col min="5" max="5" width="16.7109375" style="1" bestFit="1" customWidth="1"/>
    <col min="6" max="7" width="15.7109375" style="1" bestFit="1" customWidth="1"/>
    <col min="8" max="8" width="12" style="1" customWidth="1"/>
    <col min="9" max="9" width="2.7109375" style="1" customWidth="1"/>
    <col min="10" max="10" width="14.5703125" style="1" customWidth="1"/>
    <col min="11" max="11" width="2.7109375" style="1" customWidth="1"/>
    <col min="12" max="12" width="22.5703125" style="1" bestFit="1" customWidth="1"/>
    <col min="13" max="13" width="2.7109375" style="1" customWidth="1"/>
    <col min="14" max="14" width="16.7109375" style="1" customWidth="1"/>
    <col min="15" max="15" width="17.42578125" style="1" bestFit="1" customWidth="1"/>
    <col min="16" max="16384" width="9.140625" style="1"/>
  </cols>
  <sheetData>
    <row r="1" spans="1:15" x14ac:dyDescent="0.25">
      <c r="A1" s="327"/>
      <c r="B1" s="327"/>
      <c r="C1" s="327"/>
      <c r="D1" s="327"/>
      <c r="E1" s="327"/>
      <c r="F1" s="327"/>
      <c r="G1" s="327"/>
      <c r="H1" s="327"/>
      <c r="I1" s="327"/>
      <c r="J1" s="327"/>
      <c r="K1" s="327"/>
      <c r="L1" s="327"/>
      <c r="M1" s="327"/>
      <c r="N1" s="327"/>
      <c r="O1" s="327"/>
    </row>
    <row r="2" spans="1:15" x14ac:dyDescent="0.25">
      <c r="A2" s="327"/>
      <c r="B2" s="327"/>
      <c r="C2" s="327"/>
      <c r="D2" s="327"/>
      <c r="E2" s="327"/>
      <c r="F2" s="327"/>
      <c r="G2" s="327"/>
      <c r="H2" s="327"/>
      <c r="I2" s="327"/>
      <c r="J2" s="327"/>
      <c r="K2" s="327"/>
      <c r="L2" s="327"/>
      <c r="M2" s="327"/>
      <c r="N2" s="327"/>
      <c r="O2" s="327"/>
    </row>
    <row r="3" spans="1:15" x14ac:dyDescent="0.25">
      <c r="A3" s="327"/>
      <c r="B3" s="327"/>
      <c r="C3" s="327"/>
      <c r="D3" s="327"/>
      <c r="E3" s="327"/>
      <c r="F3" s="327"/>
      <c r="G3" s="327"/>
      <c r="H3" s="327"/>
      <c r="I3" s="327"/>
      <c r="J3" s="327"/>
      <c r="K3" s="327"/>
      <c r="L3" s="327"/>
      <c r="M3" s="327"/>
      <c r="N3" s="327"/>
      <c r="O3" s="327"/>
    </row>
    <row r="4" spans="1:15" ht="9" customHeight="1" x14ac:dyDescent="0.25">
      <c r="A4" s="327"/>
      <c r="B4" s="327"/>
      <c r="C4" s="327"/>
      <c r="D4" s="327"/>
      <c r="E4" s="327"/>
      <c r="F4" s="327"/>
      <c r="G4" s="327"/>
      <c r="H4" s="327"/>
      <c r="I4" s="327"/>
      <c r="J4" s="327"/>
      <c r="K4" s="327"/>
      <c r="L4" s="327"/>
      <c r="M4" s="327"/>
      <c r="N4" s="327"/>
      <c r="O4" s="327"/>
    </row>
    <row r="5" spans="1:15" ht="30" customHeight="1" x14ac:dyDescent="0.25">
      <c r="A5" s="328" t="s">
        <v>0</v>
      </c>
      <c r="B5" s="328"/>
      <c r="C5" s="328"/>
      <c r="D5" s="328"/>
      <c r="E5" s="328"/>
      <c r="F5" s="328"/>
      <c r="G5" s="328"/>
      <c r="H5" s="328"/>
      <c r="I5" s="328"/>
      <c r="J5" s="328"/>
      <c r="K5" s="328"/>
      <c r="L5" s="328"/>
      <c r="M5" s="328"/>
      <c r="N5" s="328"/>
      <c r="O5" s="328"/>
    </row>
    <row r="6" spans="1:15" ht="8.25" customHeight="1" x14ac:dyDescent="0.25">
      <c r="A6" s="318"/>
      <c r="B6" s="318"/>
      <c r="C6" s="318"/>
      <c r="D6" s="318"/>
      <c r="E6" s="318"/>
      <c r="F6" s="318"/>
      <c r="G6" s="318"/>
      <c r="H6" s="318"/>
      <c r="I6" s="318"/>
      <c r="J6" s="318"/>
      <c r="K6" s="318"/>
      <c r="L6" s="318"/>
      <c r="M6" s="318"/>
      <c r="N6" s="318"/>
      <c r="O6" s="318"/>
    </row>
    <row r="7" spans="1:15" s="2" customFormat="1" ht="25.15" customHeight="1" x14ac:dyDescent="0.25">
      <c r="A7" s="325" t="s">
        <v>71</v>
      </c>
      <c r="B7" s="325"/>
      <c r="C7" s="325"/>
      <c r="D7" s="325"/>
      <c r="E7" s="325"/>
      <c r="F7" s="325"/>
      <c r="G7" s="325"/>
      <c r="H7" s="325"/>
      <c r="I7" s="325"/>
      <c r="J7" s="325"/>
      <c r="K7" s="325"/>
      <c r="L7" s="325"/>
      <c r="M7" s="325"/>
      <c r="N7" s="325"/>
      <c r="O7" s="325"/>
    </row>
    <row r="8" spans="1:15" ht="8.25" customHeight="1" x14ac:dyDescent="0.25">
      <c r="A8" s="318"/>
      <c r="B8" s="318"/>
      <c r="C8" s="318"/>
      <c r="D8" s="318"/>
      <c r="E8" s="318"/>
      <c r="F8" s="318"/>
      <c r="G8" s="318"/>
      <c r="H8" s="318"/>
      <c r="I8" s="318"/>
      <c r="J8" s="318"/>
      <c r="K8" s="318"/>
      <c r="L8" s="318"/>
      <c r="M8" s="318"/>
      <c r="N8" s="318"/>
      <c r="O8" s="329"/>
    </row>
    <row r="9" spans="1:15" s="2" customFormat="1" ht="25.15" customHeight="1" x14ac:dyDescent="0.25">
      <c r="A9" s="324" t="s">
        <v>93</v>
      </c>
      <c r="B9" s="324"/>
      <c r="C9" s="324"/>
      <c r="D9" s="324"/>
      <c r="E9" s="324"/>
      <c r="F9" s="324"/>
      <c r="G9" s="324"/>
      <c r="H9" s="324"/>
      <c r="I9" s="324"/>
      <c r="J9" s="324"/>
      <c r="K9" s="324"/>
      <c r="L9" s="324"/>
      <c r="M9" s="324"/>
      <c r="N9" s="324"/>
      <c r="O9" s="324"/>
    </row>
    <row r="10" spans="1:15" ht="8.25" customHeight="1" x14ac:dyDescent="0.25">
      <c r="A10" s="318"/>
      <c r="B10" s="318"/>
      <c r="C10" s="318"/>
      <c r="D10" s="318"/>
      <c r="E10" s="318"/>
      <c r="F10" s="318"/>
      <c r="G10" s="318"/>
      <c r="H10" s="318"/>
      <c r="I10" s="318"/>
      <c r="J10" s="318"/>
      <c r="K10" s="318"/>
      <c r="L10" s="318"/>
      <c r="M10" s="318"/>
      <c r="N10" s="318"/>
      <c r="O10" s="318"/>
    </row>
    <row r="11" spans="1:15" s="2" customFormat="1" ht="25.15" customHeight="1" x14ac:dyDescent="0.25">
      <c r="A11" s="325" t="s">
        <v>83</v>
      </c>
      <c r="B11" s="325"/>
      <c r="C11" s="325"/>
      <c r="D11" s="325"/>
      <c r="E11" s="325"/>
      <c r="F11" s="325"/>
      <c r="G11" s="325"/>
      <c r="H11" s="325"/>
      <c r="I11" s="325"/>
      <c r="J11" s="325"/>
      <c r="K11" s="325"/>
      <c r="L11" s="325"/>
      <c r="M11" s="325"/>
      <c r="N11" s="325"/>
      <c r="O11" s="325"/>
    </row>
    <row r="12" spans="1:15" ht="8.25" customHeight="1" x14ac:dyDescent="0.25">
      <c r="A12" s="318"/>
      <c r="B12" s="318"/>
      <c r="C12" s="318"/>
      <c r="D12" s="318"/>
      <c r="E12" s="318"/>
      <c r="F12" s="318"/>
      <c r="G12" s="318"/>
      <c r="H12" s="318"/>
      <c r="I12" s="318"/>
      <c r="J12" s="318"/>
      <c r="K12" s="318"/>
      <c r="L12" s="318"/>
      <c r="M12" s="318"/>
      <c r="N12" s="318"/>
      <c r="O12" s="318"/>
    </row>
    <row r="13" spans="1:15" ht="25.15" customHeight="1" x14ac:dyDescent="0.25">
      <c r="A13" s="326" t="s">
        <v>72</v>
      </c>
      <c r="B13" s="326"/>
      <c r="C13" s="326"/>
      <c r="D13" s="326"/>
      <c r="E13" s="326"/>
      <c r="F13" s="326"/>
      <c r="G13" s="326"/>
      <c r="H13" s="326"/>
      <c r="I13" s="326"/>
      <c r="J13" s="326"/>
      <c r="K13" s="326"/>
      <c r="L13" s="326"/>
      <c r="M13" s="326"/>
      <c r="N13" s="326"/>
      <c r="O13" s="326"/>
    </row>
    <row r="14" spans="1:15" x14ac:dyDescent="0.25">
      <c r="A14" s="71" t="s">
        <v>1</v>
      </c>
      <c r="B14" s="337" t="s">
        <v>2</v>
      </c>
      <c r="C14" s="337"/>
      <c r="D14" s="337" t="s">
        <v>3</v>
      </c>
      <c r="E14" s="337"/>
      <c r="F14" s="337"/>
      <c r="G14" s="337"/>
      <c r="H14" s="337"/>
      <c r="I14" s="336"/>
      <c r="J14" s="334" t="s">
        <v>15</v>
      </c>
      <c r="K14" s="335"/>
      <c r="L14" s="334" t="s">
        <v>16</v>
      </c>
      <c r="M14" s="336"/>
      <c r="N14" s="80" t="s">
        <v>4</v>
      </c>
      <c r="O14" s="70"/>
    </row>
    <row r="15" spans="1:15" x14ac:dyDescent="0.25">
      <c r="A15" s="71" t="s">
        <v>5</v>
      </c>
      <c r="B15" s="71" t="s">
        <v>6</v>
      </c>
      <c r="C15" s="71" t="s">
        <v>7</v>
      </c>
      <c r="D15" s="71" t="s">
        <v>8</v>
      </c>
      <c r="E15" s="71" t="s">
        <v>9</v>
      </c>
      <c r="F15" s="71" t="s">
        <v>10</v>
      </c>
      <c r="G15" s="71" t="s">
        <v>11</v>
      </c>
      <c r="H15" s="71" t="s">
        <v>17</v>
      </c>
      <c r="I15" s="336"/>
      <c r="J15" s="334"/>
      <c r="K15" s="335"/>
      <c r="L15" s="334"/>
      <c r="M15" s="336"/>
      <c r="N15" s="71" t="s">
        <v>13</v>
      </c>
      <c r="O15" s="71" t="s">
        <v>81</v>
      </c>
    </row>
    <row r="16" spans="1:15" s="8" customFormat="1" ht="15" customHeight="1" x14ac:dyDescent="0.25">
      <c r="A16" s="77">
        <v>44927</v>
      </c>
      <c r="B16" s="78">
        <f>RBT!E14</f>
        <v>200048.11</v>
      </c>
      <c r="C16" s="78">
        <f>B16</f>
        <v>200048.11</v>
      </c>
      <c r="D16" s="78" t="e">
        <f>'SN industria'!D4</f>
        <v>#DIV/0!</v>
      </c>
      <c r="E16" s="78" t="e">
        <f>'SN industria'!E4</f>
        <v>#DIV/0!</v>
      </c>
      <c r="F16" s="78" t="e">
        <f>'SN industria'!F4</f>
        <v>#DIV/0!</v>
      </c>
      <c r="G16" s="78" t="e">
        <f>'SN industria'!G4</f>
        <v>#DIV/0!</v>
      </c>
      <c r="H16" s="79">
        <v>0</v>
      </c>
      <c r="I16" s="336"/>
      <c r="J16" s="79">
        <v>0</v>
      </c>
      <c r="K16" s="335"/>
      <c r="L16" s="78" t="e">
        <f>'SN industria'!I4</f>
        <v>#DIV/0!</v>
      </c>
      <c r="M16" s="336"/>
      <c r="N16" s="78" t="e">
        <f>'SN industria'!H4</f>
        <v>#DIV/0!</v>
      </c>
      <c r="O16" s="68" t="e">
        <f t="shared" ref="O16:O28" si="0">D16+E16+F16+G16+J16+L16+N16</f>
        <v>#DIV/0!</v>
      </c>
    </row>
    <row r="17" spans="1:16" s="8" customFormat="1" ht="15" customHeight="1" x14ac:dyDescent="0.25">
      <c r="A17" s="77">
        <v>44958</v>
      </c>
      <c r="B17" s="78">
        <f>RBT!E15</f>
        <v>433796.09</v>
      </c>
      <c r="C17" s="78">
        <f>C16+B17</f>
        <v>633844.19999999995</v>
      </c>
      <c r="D17" s="78" t="e">
        <f>'SN industria'!D9</f>
        <v>#DIV/0!</v>
      </c>
      <c r="E17" s="78" t="e">
        <f>'SN industria'!E9</f>
        <v>#DIV/0!</v>
      </c>
      <c r="F17" s="78" t="e">
        <f>'SN industria'!F9</f>
        <v>#DIV/0!</v>
      </c>
      <c r="G17" s="78" t="e">
        <f>'SN industria'!G9</f>
        <v>#DIV/0!</v>
      </c>
      <c r="H17" s="79">
        <v>0</v>
      </c>
      <c r="I17" s="336"/>
      <c r="J17" s="79">
        <v>0</v>
      </c>
      <c r="K17" s="335"/>
      <c r="L17" s="78" t="e">
        <f>'SN industria'!I9</f>
        <v>#DIV/0!</v>
      </c>
      <c r="M17" s="336"/>
      <c r="N17" s="78" t="e">
        <f>'SN industria'!H9</f>
        <v>#DIV/0!</v>
      </c>
      <c r="O17" s="68" t="e">
        <f t="shared" si="0"/>
        <v>#DIV/0!</v>
      </c>
    </row>
    <row r="18" spans="1:16" s="8" customFormat="1" ht="15" customHeight="1" x14ac:dyDescent="0.25">
      <c r="A18" s="77">
        <v>44986</v>
      </c>
      <c r="B18" s="78">
        <f>RBT!E16</f>
        <v>363654.01</v>
      </c>
      <c r="C18" s="78">
        <f t="shared" ref="C18:C27" si="1">C17+B18</f>
        <v>997498.21</v>
      </c>
      <c r="D18" s="78" t="e">
        <f>'SN industria'!D14</f>
        <v>#DIV/0!</v>
      </c>
      <c r="E18" s="78" t="e">
        <f>'SN industria'!E14</f>
        <v>#DIV/0!</v>
      </c>
      <c r="F18" s="78" t="e">
        <f>'SN industria'!F14</f>
        <v>#DIV/0!</v>
      </c>
      <c r="G18" s="78" t="e">
        <f>'SN industria'!G14</f>
        <v>#DIV/0!</v>
      </c>
      <c r="H18" s="79">
        <v>0</v>
      </c>
      <c r="I18" s="336"/>
      <c r="J18" s="79">
        <v>0</v>
      </c>
      <c r="K18" s="335"/>
      <c r="L18" s="78" t="e">
        <f>'SN industria'!I14</f>
        <v>#DIV/0!</v>
      </c>
      <c r="M18" s="336"/>
      <c r="N18" s="78" t="e">
        <f>'SN industria'!H14</f>
        <v>#DIV/0!</v>
      </c>
      <c r="O18" s="68" t="e">
        <f t="shared" si="0"/>
        <v>#DIV/0!</v>
      </c>
    </row>
    <row r="19" spans="1:16" s="8" customFormat="1" ht="15" customHeight="1" x14ac:dyDescent="0.25">
      <c r="A19" s="77">
        <v>45017</v>
      </c>
      <c r="B19" s="78">
        <f>RBT!E17</f>
        <v>446968.74</v>
      </c>
      <c r="C19" s="78">
        <f t="shared" si="1"/>
        <v>1444466.95</v>
      </c>
      <c r="D19" s="78" t="e">
        <f>'SN industria'!D19</f>
        <v>#DIV/0!</v>
      </c>
      <c r="E19" s="78" t="e">
        <f>'SN industria'!E19</f>
        <v>#DIV/0!</v>
      </c>
      <c r="F19" s="78" t="e">
        <f>'SN industria'!F19</f>
        <v>#DIV/0!</v>
      </c>
      <c r="G19" s="78" t="e">
        <f>'SN industria'!G19</f>
        <v>#DIV/0!</v>
      </c>
      <c r="H19" s="79">
        <v>0</v>
      </c>
      <c r="I19" s="336"/>
      <c r="J19" s="79">
        <v>0</v>
      </c>
      <c r="K19" s="335"/>
      <c r="L19" s="78" t="e">
        <f>'SN industria'!I19</f>
        <v>#DIV/0!</v>
      </c>
      <c r="M19" s="336"/>
      <c r="N19" s="78" t="e">
        <f>'SN industria'!H19</f>
        <v>#DIV/0!</v>
      </c>
      <c r="O19" s="68" t="e">
        <f t="shared" si="0"/>
        <v>#DIV/0!</v>
      </c>
    </row>
    <row r="20" spans="1:16" s="8" customFormat="1" ht="15" customHeight="1" x14ac:dyDescent="0.25">
      <c r="A20" s="77">
        <v>45047</v>
      </c>
      <c r="B20" s="78">
        <f>RBT!E18</f>
        <v>486387.3</v>
      </c>
      <c r="C20" s="78">
        <f t="shared" si="1"/>
        <v>1930854.25</v>
      </c>
      <c r="D20" s="78" t="e">
        <f>'SN industria'!D24</f>
        <v>#DIV/0!</v>
      </c>
      <c r="E20" s="78" t="e">
        <f>'SN industria'!E24</f>
        <v>#DIV/0!</v>
      </c>
      <c r="F20" s="78" t="e">
        <f>'SN industria'!F24</f>
        <v>#DIV/0!</v>
      </c>
      <c r="G20" s="78" t="e">
        <f>'SN industria'!G24</f>
        <v>#DIV/0!</v>
      </c>
      <c r="H20" s="79">
        <v>0</v>
      </c>
      <c r="I20" s="336"/>
      <c r="J20" s="79">
        <v>0</v>
      </c>
      <c r="K20" s="335"/>
      <c r="L20" s="78" t="e">
        <f>'SN industria'!I24</f>
        <v>#DIV/0!</v>
      </c>
      <c r="M20" s="336"/>
      <c r="N20" s="78" t="e">
        <f>'SN industria'!H24</f>
        <v>#DIV/0!</v>
      </c>
      <c r="O20" s="68" t="e">
        <f t="shared" si="0"/>
        <v>#DIV/0!</v>
      </c>
    </row>
    <row r="21" spans="1:16" s="8" customFormat="1" ht="15" customHeight="1" x14ac:dyDescent="0.25">
      <c r="A21" s="77">
        <v>45078</v>
      </c>
      <c r="B21" s="78">
        <f>RBT!E19</f>
        <v>407179.16</v>
      </c>
      <c r="C21" s="78">
        <f t="shared" si="1"/>
        <v>2338033.41</v>
      </c>
      <c r="D21" s="78" t="e">
        <f>'SN industria'!D29</f>
        <v>#DIV/0!</v>
      </c>
      <c r="E21" s="78" t="e">
        <f>'SN industria'!E29</f>
        <v>#DIV/0!</v>
      </c>
      <c r="F21" s="78" t="e">
        <f>'SN industria'!F29</f>
        <v>#DIV/0!</v>
      </c>
      <c r="G21" s="78" t="e">
        <f>'SN industria'!G29</f>
        <v>#DIV/0!</v>
      </c>
      <c r="H21" s="79">
        <v>0</v>
      </c>
      <c r="I21" s="336"/>
      <c r="J21" s="79">
        <v>0</v>
      </c>
      <c r="K21" s="335"/>
      <c r="L21" s="78" t="e">
        <f>'SN industria'!I29</f>
        <v>#DIV/0!</v>
      </c>
      <c r="M21" s="336"/>
      <c r="N21" s="78" t="e">
        <f>'SN industria'!H29</f>
        <v>#DIV/0!</v>
      </c>
      <c r="O21" s="68" t="e">
        <f t="shared" si="0"/>
        <v>#DIV/0!</v>
      </c>
    </row>
    <row r="22" spans="1:16" s="8" customFormat="1" ht="15" customHeight="1" x14ac:dyDescent="0.25">
      <c r="A22" s="77">
        <v>45108</v>
      </c>
      <c r="B22" s="78">
        <f>RBT!E20</f>
        <v>389441.14</v>
      </c>
      <c r="C22" s="78">
        <f t="shared" si="1"/>
        <v>2727474.5500000003</v>
      </c>
      <c r="D22" s="78" t="e">
        <f>'SN industria'!D34</f>
        <v>#DIV/0!</v>
      </c>
      <c r="E22" s="78" t="e">
        <f>'SN industria'!E34</f>
        <v>#DIV/0!</v>
      </c>
      <c r="F22" s="78" t="e">
        <f>'SN industria'!F34</f>
        <v>#DIV/0!</v>
      </c>
      <c r="G22" s="78" t="e">
        <f>'SN industria'!G34</f>
        <v>#DIV/0!</v>
      </c>
      <c r="H22" s="79">
        <v>0</v>
      </c>
      <c r="I22" s="336"/>
      <c r="J22" s="79">
        <v>0</v>
      </c>
      <c r="K22" s="335"/>
      <c r="L22" s="78" t="e">
        <f>'SN industria'!I34</f>
        <v>#DIV/0!</v>
      </c>
      <c r="M22" s="336"/>
      <c r="N22" s="78" t="e">
        <f>'SN industria'!H34</f>
        <v>#DIV/0!</v>
      </c>
      <c r="O22" s="68" t="e">
        <f t="shared" si="0"/>
        <v>#DIV/0!</v>
      </c>
    </row>
    <row r="23" spans="1:16" s="8" customFormat="1" ht="15" customHeight="1" x14ac:dyDescent="0.25">
      <c r="A23" s="77">
        <v>45139</v>
      </c>
      <c r="B23" s="78">
        <f>RBT!E21</f>
        <v>357092.77</v>
      </c>
      <c r="C23" s="78">
        <f t="shared" si="1"/>
        <v>3084567.3200000003</v>
      </c>
      <c r="D23" s="78" t="e">
        <f>'SN industria'!D39</f>
        <v>#DIV/0!</v>
      </c>
      <c r="E23" s="78" t="e">
        <f>'SN industria'!E39</f>
        <v>#DIV/0!</v>
      </c>
      <c r="F23" s="78" t="e">
        <f>'SN industria'!F39</f>
        <v>#DIV/0!</v>
      </c>
      <c r="G23" s="78" t="e">
        <f>'SN industria'!G39</f>
        <v>#DIV/0!</v>
      </c>
      <c r="H23" s="79">
        <v>0</v>
      </c>
      <c r="I23" s="336"/>
      <c r="J23" s="79">
        <v>0</v>
      </c>
      <c r="K23" s="335"/>
      <c r="L23" s="78" t="e">
        <f>'SN industria'!I39</f>
        <v>#DIV/0!</v>
      </c>
      <c r="M23" s="336"/>
      <c r="N23" s="78" t="e">
        <f>'SN industria'!H39</f>
        <v>#DIV/0!</v>
      </c>
      <c r="O23" s="68" t="e">
        <f t="shared" si="0"/>
        <v>#DIV/0!</v>
      </c>
    </row>
    <row r="24" spans="1:16" s="8" customFormat="1" ht="15" customHeight="1" x14ac:dyDescent="0.25">
      <c r="A24" s="77">
        <v>45170</v>
      </c>
      <c r="B24" s="78">
        <f>RBT!E22</f>
        <v>277903.59000000003</v>
      </c>
      <c r="C24" s="78">
        <f t="shared" si="1"/>
        <v>3362470.91</v>
      </c>
      <c r="D24" s="78" t="e">
        <f>'SN industria'!D44</f>
        <v>#DIV/0!</v>
      </c>
      <c r="E24" s="78" t="e">
        <f>'SN industria'!E44</f>
        <v>#DIV/0!</v>
      </c>
      <c r="F24" s="78" t="e">
        <f>'SN industria'!F44</f>
        <v>#DIV/0!</v>
      </c>
      <c r="G24" s="78" t="e">
        <f>'SN industria'!G44</f>
        <v>#DIV/0!</v>
      </c>
      <c r="H24" s="79">
        <v>0</v>
      </c>
      <c r="I24" s="336"/>
      <c r="J24" s="79">
        <v>0</v>
      </c>
      <c r="K24" s="335"/>
      <c r="L24" s="78" t="e">
        <f>'SN industria'!I44</f>
        <v>#DIV/0!</v>
      </c>
      <c r="M24" s="336"/>
      <c r="N24" s="78" t="e">
        <f>'SN industria'!H44</f>
        <v>#DIV/0!</v>
      </c>
      <c r="O24" s="68" t="e">
        <f t="shared" si="0"/>
        <v>#DIV/0!</v>
      </c>
    </row>
    <row r="25" spans="1:16" s="8" customFormat="1" ht="15" customHeight="1" x14ac:dyDescent="0.25">
      <c r="A25" s="77">
        <v>45200</v>
      </c>
      <c r="B25" s="78">
        <f>RBT!E23</f>
        <v>497518.5</v>
      </c>
      <c r="C25" s="78">
        <f t="shared" si="1"/>
        <v>3859989.41</v>
      </c>
      <c r="D25" s="78" t="e">
        <f>'SN industria'!D49</f>
        <v>#DIV/0!</v>
      </c>
      <c r="E25" s="78" t="e">
        <f>'SN industria'!E49</f>
        <v>#DIV/0!</v>
      </c>
      <c r="F25" s="78" t="e">
        <f>'SN industria'!F49</f>
        <v>#DIV/0!</v>
      </c>
      <c r="G25" s="78" t="e">
        <f>'SN industria'!G49</f>
        <v>#DIV/0!</v>
      </c>
      <c r="H25" s="79">
        <v>0</v>
      </c>
      <c r="I25" s="336"/>
      <c r="J25" s="79">
        <v>0</v>
      </c>
      <c r="K25" s="335"/>
      <c r="L25" s="78" t="e">
        <f>'SN industria'!I49</f>
        <v>#DIV/0!</v>
      </c>
      <c r="M25" s="336"/>
      <c r="N25" s="78" t="e">
        <f>'SN industria'!H49</f>
        <v>#DIV/0!</v>
      </c>
      <c r="O25" s="68" t="e">
        <f t="shared" si="0"/>
        <v>#DIV/0!</v>
      </c>
    </row>
    <row r="26" spans="1:16" s="8" customFormat="1" ht="15" customHeight="1" x14ac:dyDescent="0.25">
      <c r="A26" s="77">
        <v>45231</v>
      </c>
      <c r="B26" s="78">
        <f>RBT!E24</f>
        <v>538580.03</v>
      </c>
      <c r="C26" s="78">
        <f t="shared" si="1"/>
        <v>4398569.4400000004</v>
      </c>
      <c r="D26" s="78">
        <f>'SN industria'!D54</f>
        <v>2888.355621318452</v>
      </c>
      <c r="E26" s="78">
        <f>'SN industria'!E54</f>
        <v>13334.787185646421</v>
      </c>
      <c r="F26" s="78">
        <f>'SN industria'!F54</f>
        <v>5407.7142689882912</v>
      </c>
      <c r="G26" s="78">
        <f>'SN industria'!G54</f>
        <v>4771.5125902837863</v>
      </c>
      <c r="H26" s="79">
        <v>0</v>
      </c>
      <c r="I26" s="336"/>
      <c r="J26" s="79">
        <v>0</v>
      </c>
      <c r="K26" s="335"/>
      <c r="L26" s="78">
        <f>'SN industria'!I54</f>
        <v>0</v>
      </c>
      <c r="M26" s="336"/>
      <c r="N26" s="78">
        <f>'SN industria'!H54</f>
        <v>14950.739449555862</v>
      </c>
      <c r="O26" s="68">
        <f t="shared" si="0"/>
        <v>41353.109115792817</v>
      </c>
    </row>
    <row r="27" spans="1:16" s="8" customFormat="1" ht="15" customHeight="1" x14ac:dyDescent="0.25">
      <c r="A27" s="77">
        <v>45261</v>
      </c>
      <c r="B27" s="78">
        <f>RBT!E25</f>
        <v>296852.7</v>
      </c>
      <c r="C27" s="78">
        <f t="shared" si="1"/>
        <v>4695422.1400000006</v>
      </c>
      <c r="D27" s="78" t="e">
        <f>'SN industria'!D59</f>
        <v>#DIV/0!</v>
      </c>
      <c r="E27" s="78" t="e">
        <f>'SN industria'!E59</f>
        <v>#DIV/0!</v>
      </c>
      <c r="F27" s="78" t="e">
        <f>'SN industria'!F59</f>
        <v>#DIV/0!</v>
      </c>
      <c r="G27" s="78" t="e">
        <f>'SN industria'!G59</f>
        <v>#DIV/0!</v>
      </c>
      <c r="H27" s="79">
        <v>0</v>
      </c>
      <c r="I27" s="336"/>
      <c r="J27" s="79">
        <v>0</v>
      </c>
      <c r="K27" s="335"/>
      <c r="L27" s="78" t="e">
        <f>'SN industria'!I59</f>
        <v>#DIV/0!</v>
      </c>
      <c r="M27" s="336"/>
      <c r="N27" s="78" t="e">
        <f>'SN industria'!H59</f>
        <v>#DIV/0!</v>
      </c>
      <c r="O27" s="68" t="e">
        <f t="shared" si="0"/>
        <v>#DIV/0!</v>
      </c>
    </row>
    <row r="28" spans="1:16" s="2" customFormat="1" ht="19.899999999999999" customHeight="1" x14ac:dyDescent="0.25">
      <c r="A28" s="338" t="s">
        <v>14</v>
      </c>
      <c r="B28" s="338"/>
      <c r="C28" s="338"/>
      <c r="D28" s="82" t="e">
        <f>SUM(D16:D27)</f>
        <v>#DIV/0!</v>
      </c>
      <c r="E28" s="82" t="e">
        <f>SUM(E16:E27)</f>
        <v>#DIV/0!</v>
      </c>
      <c r="F28" s="82" t="e">
        <f>SUM(F16:F27)</f>
        <v>#DIV/0!</v>
      </c>
      <c r="G28" s="82" t="e">
        <f>SUM(G16:G27)</f>
        <v>#DIV/0!</v>
      </c>
      <c r="H28" s="83">
        <f>SUM(H16:H27)</f>
        <v>0</v>
      </c>
      <c r="I28" s="336"/>
      <c r="J28" s="81">
        <f>SUM(J16:J27)</f>
        <v>0</v>
      </c>
      <c r="K28" s="335"/>
      <c r="L28" s="82" t="e">
        <f>SUM(L16:L27)</f>
        <v>#DIV/0!</v>
      </c>
      <c r="M28" s="336"/>
      <c r="N28" s="82" t="e">
        <f>SUM(N16:N27)</f>
        <v>#DIV/0!</v>
      </c>
      <c r="O28" s="69" t="e">
        <f t="shared" si="0"/>
        <v>#DIV/0!</v>
      </c>
    </row>
    <row r="29" spans="1:16" ht="8.4499999999999993" customHeight="1" x14ac:dyDescent="0.25">
      <c r="A29" s="318"/>
      <c r="B29" s="318"/>
      <c r="C29" s="318"/>
      <c r="D29" s="318"/>
      <c r="E29" s="318"/>
      <c r="F29" s="318"/>
      <c r="G29" s="318"/>
      <c r="H29" s="318"/>
      <c r="I29" s="318"/>
      <c r="J29" s="318"/>
      <c r="K29" s="318"/>
      <c r="L29" s="318"/>
      <c r="M29" s="318"/>
      <c r="N29" s="318"/>
      <c r="O29" s="318"/>
    </row>
    <row r="30" spans="1:16" ht="8.25" customHeight="1" x14ac:dyDescent="0.25">
      <c r="A30" s="332"/>
      <c r="B30" s="332"/>
      <c r="C30" s="332"/>
      <c r="D30" s="332"/>
      <c r="E30" s="332"/>
      <c r="F30" s="332"/>
      <c r="G30" s="332"/>
      <c r="H30" s="332"/>
      <c r="I30" s="332"/>
      <c r="J30" s="332"/>
      <c r="K30" s="332"/>
      <c r="L30" s="332"/>
      <c r="M30" s="332"/>
      <c r="N30" s="332"/>
      <c r="O30" s="333"/>
      <c r="P30" s="73"/>
    </row>
    <row r="31" spans="1:16" ht="15.75" customHeight="1" x14ac:dyDescent="0.25">
      <c r="A31" s="327"/>
      <c r="B31" s="327"/>
      <c r="C31" s="327"/>
      <c r="D31" s="327"/>
      <c r="E31" s="327"/>
      <c r="F31" s="327"/>
      <c r="G31" s="327"/>
      <c r="H31" s="327"/>
      <c r="I31" s="327"/>
      <c r="J31" s="327"/>
      <c r="K31" s="327"/>
      <c r="L31" s="327"/>
      <c r="M31" s="327"/>
      <c r="N31" s="327"/>
      <c r="O31" s="327"/>
      <c r="P31" s="73"/>
    </row>
    <row r="32" spans="1:16" ht="15.75" customHeight="1" x14ac:dyDescent="0.25">
      <c r="A32" s="327"/>
      <c r="B32" s="327"/>
      <c r="C32" s="327"/>
      <c r="D32" s="327"/>
      <c r="E32" s="327"/>
      <c r="F32" s="327"/>
      <c r="G32" s="327"/>
      <c r="H32" s="327"/>
      <c r="I32" s="327"/>
      <c r="J32" s="327"/>
      <c r="K32" s="327"/>
      <c r="L32" s="327"/>
      <c r="M32" s="327"/>
      <c r="N32" s="327"/>
      <c r="O32" s="327"/>
      <c r="P32" s="73"/>
    </row>
    <row r="33" spans="1:16" ht="15.75" customHeight="1" x14ac:dyDescent="0.25">
      <c r="A33" s="327"/>
      <c r="B33" s="327"/>
      <c r="C33" s="327"/>
      <c r="D33" s="327"/>
      <c r="E33" s="327"/>
      <c r="F33" s="327"/>
      <c r="G33" s="327"/>
      <c r="H33" s="327"/>
      <c r="I33" s="327"/>
      <c r="J33" s="327"/>
      <c r="K33" s="327"/>
      <c r="L33" s="327"/>
      <c r="M33" s="327"/>
      <c r="N33" s="327"/>
      <c r="O33" s="327"/>
      <c r="P33" s="73"/>
    </row>
    <row r="34" spans="1:16" ht="15.75" customHeight="1" x14ac:dyDescent="0.25">
      <c r="A34" s="327"/>
      <c r="B34" s="327"/>
      <c r="C34" s="327"/>
      <c r="D34" s="327"/>
      <c r="E34" s="327"/>
      <c r="F34" s="327"/>
      <c r="G34" s="327"/>
      <c r="H34" s="327"/>
      <c r="I34" s="327"/>
      <c r="J34" s="327"/>
      <c r="K34" s="327"/>
      <c r="L34" s="327"/>
      <c r="M34" s="327"/>
      <c r="N34" s="327"/>
      <c r="O34" s="327"/>
      <c r="P34" s="73"/>
    </row>
    <row r="35" spans="1:16" ht="33.6" customHeight="1" x14ac:dyDescent="0.25">
      <c r="A35" s="328" t="s">
        <v>0</v>
      </c>
      <c r="B35" s="328"/>
      <c r="C35" s="328"/>
      <c r="D35" s="328"/>
      <c r="E35" s="328"/>
      <c r="F35" s="328"/>
      <c r="G35" s="328"/>
      <c r="H35" s="328"/>
      <c r="I35" s="328"/>
      <c r="J35" s="328"/>
      <c r="K35" s="328"/>
      <c r="L35" s="328"/>
      <c r="M35" s="328"/>
      <c r="N35" s="328"/>
      <c r="O35" s="328"/>
      <c r="P35" s="73"/>
    </row>
    <row r="36" spans="1:16" ht="9.9499999999999993" customHeight="1" x14ac:dyDescent="0.3">
      <c r="A36" s="323"/>
      <c r="B36" s="323"/>
      <c r="C36" s="323"/>
      <c r="D36" s="323"/>
      <c r="E36" s="323"/>
      <c r="F36" s="323"/>
      <c r="G36" s="323"/>
      <c r="H36" s="323"/>
      <c r="I36" s="323"/>
      <c r="J36" s="323"/>
      <c r="K36" s="323"/>
      <c r="L36" s="323"/>
      <c r="M36" s="323"/>
      <c r="N36" s="323"/>
      <c r="O36" s="323"/>
      <c r="P36" s="73"/>
    </row>
    <row r="37" spans="1:16" ht="22.15" customHeight="1" x14ac:dyDescent="0.25">
      <c r="A37" s="294" t="s">
        <v>18</v>
      </c>
      <c r="B37" s="294"/>
      <c r="C37" s="294"/>
      <c r="D37" s="294"/>
      <c r="E37" s="294"/>
      <c r="F37" s="294"/>
      <c r="G37" s="294"/>
      <c r="H37" s="294"/>
      <c r="I37" s="294"/>
      <c r="J37" s="294"/>
      <c r="K37" s="294"/>
      <c r="L37" s="294"/>
      <c r="M37" s="294"/>
      <c r="N37" s="294"/>
      <c r="O37" s="294"/>
      <c r="P37" s="73"/>
    </row>
    <row r="38" spans="1:16" ht="8.25" customHeight="1" x14ac:dyDescent="0.3">
      <c r="A38" s="323"/>
      <c r="B38" s="323"/>
      <c r="C38" s="323"/>
      <c r="D38" s="323"/>
      <c r="E38" s="323"/>
      <c r="F38" s="323"/>
      <c r="G38" s="323"/>
      <c r="H38" s="323"/>
      <c r="I38" s="323"/>
      <c r="J38" s="323"/>
      <c r="K38" s="323"/>
      <c r="L38" s="323"/>
      <c r="M38" s="323"/>
      <c r="N38" s="323"/>
      <c r="O38" s="323"/>
      <c r="P38" s="73"/>
    </row>
    <row r="39" spans="1:16" ht="20.25" x14ac:dyDescent="0.3">
      <c r="A39" s="313" t="s">
        <v>19</v>
      </c>
      <c r="B39" s="313"/>
      <c r="C39" s="313"/>
      <c r="D39" s="313"/>
      <c r="E39" s="85"/>
      <c r="F39" s="85"/>
      <c r="G39" s="85"/>
      <c r="H39" s="86" t="s">
        <v>20</v>
      </c>
      <c r="I39" s="86"/>
      <c r="J39" s="86"/>
      <c r="K39" s="86"/>
      <c r="L39" s="84"/>
      <c r="M39" s="314"/>
      <c r="N39" s="314"/>
      <c r="O39" s="314"/>
      <c r="P39" s="73"/>
    </row>
    <row r="40" spans="1:16" ht="8.25" customHeight="1" x14ac:dyDescent="0.3">
      <c r="A40" s="315"/>
      <c r="B40" s="316"/>
      <c r="C40" s="316"/>
      <c r="D40" s="316"/>
      <c r="E40" s="316"/>
      <c r="F40" s="316"/>
      <c r="G40" s="316"/>
      <c r="H40" s="316"/>
      <c r="I40" s="316"/>
      <c r="J40" s="316"/>
      <c r="K40" s="316"/>
      <c r="L40" s="316"/>
      <c r="M40" s="316"/>
      <c r="N40" s="316"/>
      <c r="O40" s="317"/>
      <c r="P40" s="73"/>
    </row>
    <row r="41" spans="1:16" s="11" customFormat="1" ht="20.25" x14ac:dyDescent="0.55000000000000004">
      <c r="A41" s="295" t="s">
        <v>73</v>
      </c>
      <c r="B41" s="296"/>
      <c r="C41" s="297"/>
      <c r="D41" s="319" t="e">
        <f>D28+E28+F28+G28+H28+J28+L28+N28</f>
        <v>#DIV/0!</v>
      </c>
      <c r="E41" s="319"/>
      <c r="F41" s="88"/>
      <c r="G41" s="87"/>
      <c r="H41" s="295" t="s">
        <v>77</v>
      </c>
      <c r="I41" s="296"/>
      <c r="J41" s="297"/>
      <c r="K41" s="322" t="e">
        <f>D41/600000</f>
        <v>#DIV/0!</v>
      </c>
      <c r="L41" s="322"/>
      <c r="M41" s="89"/>
      <c r="N41" s="90"/>
      <c r="O41" s="91"/>
      <c r="P41" s="74"/>
    </row>
    <row r="42" spans="1:16" ht="8.25" customHeight="1" x14ac:dyDescent="0.3">
      <c r="A42" s="315"/>
      <c r="B42" s="316"/>
      <c r="C42" s="316"/>
      <c r="D42" s="316"/>
      <c r="E42" s="316"/>
      <c r="F42" s="316"/>
      <c r="G42" s="316"/>
      <c r="H42" s="316"/>
      <c r="I42" s="316"/>
      <c r="J42" s="316"/>
      <c r="K42" s="316"/>
      <c r="L42" s="316"/>
      <c r="M42" s="316"/>
      <c r="N42" s="316"/>
      <c r="O42" s="317"/>
      <c r="P42" s="73"/>
    </row>
    <row r="43" spans="1:16" s="13" customFormat="1" ht="19.899999999999999" customHeight="1" x14ac:dyDescent="0.25">
      <c r="A43" s="298" t="s">
        <v>74</v>
      </c>
      <c r="B43" s="299"/>
      <c r="C43" s="300"/>
      <c r="D43" s="320" t="e">
        <f>#REF!+#REF!+#REF!+#REF!+#REF!+#REF!+#REF!+#REF!</f>
        <v>#REF!</v>
      </c>
      <c r="E43" s="320"/>
      <c r="F43" s="93"/>
      <c r="G43" s="92"/>
      <c r="H43" s="298" t="s">
        <v>78</v>
      </c>
      <c r="I43" s="299"/>
      <c r="J43" s="300"/>
      <c r="K43" s="321" t="e">
        <f>D43/700000</f>
        <v>#REF!</v>
      </c>
      <c r="L43" s="321"/>
      <c r="M43" s="92"/>
      <c r="N43" s="92"/>
      <c r="O43" s="94"/>
      <c r="P43" s="75"/>
    </row>
    <row r="44" spans="1:16" ht="8.25" customHeight="1" x14ac:dyDescent="0.3">
      <c r="A44" s="315"/>
      <c r="B44" s="316"/>
      <c r="C44" s="316"/>
      <c r="D44" s="316"/>
      <c r="E44" s="316"/>
      <c r="F44" s="316"/>
      <c r="G44" s="316"/>
      <c r="H44" s="316"/>
      <c r="I44" s="316"/>
      <c r="J44" s="316"/>
      <c r="K44" s="316"/>
      <c r="L44" s="316"/>
      <c r="M44" s="316"/>
      <c r="N44" s="316"/>
      <c r="O44" s="317"/>
      <c r="P44" s="73"/>
    </row>
    <row r="45" spans="1:16" s="11" customFormat="1" ht="20.25" x14ac:dyDescent="0.55000000000000004">
      <c r="A45" s="295" t="s">
        <v>75</v>
      </c>
      <c r="B45" s="296"/>
      <c r="C45" s="297"/>
      <c r="D45" s="319" t="e">
        <f>#REF!+#REF!+#REF!+#REF!+#REF!+#REF!+#REF!+#REF!</f>
        <v>#REF!</v>
      </c>
      <c r="E45" s="319"/>
      <c r="F45" s="88"/>
      <c r="G45" s="87"/>
      <c r="H45" s="295" t="s">
        <v>79</v>
      </c>
      <c r="I45" s="296"/>
      <c r="J45" s="297"/>
      <c r="K45" s="322" t="e">
        <f>D45/800000</f>
        <v>#REF!</v>
      </c>
      <c r="L45" s="322"/>
      <c r="M45" s="95"/>
      <c r="N45" s="90"/>
      <c r="O45" s="91"/>
      <c r="P45" s="74"/>
    </row>
    <row r="46" spans="1:16" ht="7.9" customHeight="1" x14ac:dyDescent="0.25">
      <c r="A46" s="310"/>
      <c r="B46" s="311"/>
      <c r="C46" s="311"/>
      <c r="D46" s="311"/>
      <c r="E46" s="311"/>
      <c r="F46" s="311"/>
      <c r="G46" s="311"/>
      <c r="H46" s="311"/>
      <c r="I46" s="311"/>
      <c r="J46" s="311"/>
      <c r="K46" s="311"/>
      <c r="L46" s="311"/>
      <c r="M46" s="311"/>
      <c r="N46" s="311"/>
      <c r="O46" s="312"/>
      <c r="P46" s="73"/>
    </row>
    <row r="47" spans="1:16" s="12" customFormat="1" ht="20.25" hidden="1" x14ac:dyDescent="0.55000000000000004">
      <c r="A47" s="98" t="s">
        <v>21</v>
      </c>
      <c r="B47" s="99"/>
      <c r="C47" s="99"/>
      <c r="D47" s="100" t="e">
        <f>#REF!+#REF!+#REF!+#REF!+#REF!+#REF!+#REF!+#REF!+#REF!</f>
        <v>#REF!</v>
      </c>
      <c r="E47" s="101"/>
      <c r="F47" s="101"/>
      <c r="G47" s="99"/>
      <c r="H47" s="102" t="s">
        <v>22</v>
      </c>
      <c r="I47" s="102"/>
      <c r="J47" s="102"/>
      <c r="K47" s="103" t="e">
        <f>D47/#REF!</f>
        <v>#REF!</v>
      </c>
      <c r="L47" s="103"/>
      <c r="M47" s="104"/>
      <c r="N47" s="101"/>
      <c r="O47" s="105"/>
      <c r="P47" s="76"/>
    </row>
    <row r="48" spans="1:16" ht="8.25" hidden="1" customHeight="1" thickBot="1" x14ac:dyDescent="0.3">
      <c r="A48" s="96"/>
      <c r="B48" s="96"/>
      <c r="C48" s="96"/>
      <c r="D48" s="96"/>
      <c r="E48" s="96"/>
      <c r="F48" s="96"/>
      <c r="G48" s="96"/>
      <c r="H48" s="96"/>
      <c r="I48" s="96"/>
      <c r="J48" s="96"/>
      <c r="K48" s="96"/>
      <c r="L48" s="96"/>
      <c r="M48" s="96"/>
      <c r="N48" s="96"/>
      <c r="O48" s="97"/>
      <c r="P48" s="73"/>
    </row>
    <row r="49" spans="1:16" s="13" customFormat="1" ht="19.899999999999999" customHeight="1" x14ac:dyDescent="0.25">
      <c r="A49" s="298" t="s">
        <v>76</v>
      </c>
      <c r="B49" s="299"/>
      <c r="C49" s="300"/>
      <c r="D49" s="320" t="e">
        <f>#REF!+#REF!+#REF!+#REF!+#REF!+#REF!+#REF!+#REF!</f>
        <v>#REF!</v>
      </c>
      <c r="E49" s="320"/>
      <c r="F49" s="93"/>
      <c r="G49" s="92"/>
      <c r="H49" s="298" t="s">
        <v>80</v>
      </c>
      <c r="I49" s="299"/>
      <c r="J49" s="300"/>
      <c r="K49" s="321" t="e">
        <f>D49/900000</f>
        <v>#REF!</v>
      </c>
      <c r="L49" s="321"/>
      <c r="M49" s="92"/>
      <c r="N49" s="92"/>
      <c r="O49" s="94"/>
      <c r="P49" s="75"/>
    </row>
    <row r="50" spans="1:16" ht="8.25" customHeight="1" x14ac:dyDescent="0.25">
      <c r="A50" s="310"/>
      <c r="B50" s="311"/>
      <c r="C50" s="311"/>
      <c r="D50" s="311"/>
      <c r="E50" s="311"/>
      <c r="F50" s="311"/>
      <c r="G50" s="311"/>
      <c r="H50" s="311"/>
      <c r="I50" s="311"/>
      <c r="J50" s="311"/>
      <c r="K50" s="311"/>
      <c r="L50" s="311"/>
      <c r="M50" s="311"/>
      <c r="N50" s="311"/>
      <c r="O50" s="312"/>
      <c r="P50" s="73"/>
    </row>
    <row r="51" spans="1:16" ht="8.25" customHeight="1" x14ac:dyDescent="0.3">
      <c r="A51" s="323"/>
      <c r="B51" s="323"/>
      <c r="C51" s="323"/>
      <c r="D51" s="323"/>
      <c r="E51" s="323"/>
      <c r="F51" s="323"/>
      <c r="G51" s="323"/>
      <c r="H51" s="323"/>
      <c r="I51" s="323"/>
      <c r="J51" s="323"/>
      <c r="K51" s="323"/>
      <c r="L51" s="323"/>
      <c r="M51" s="323"/>
      <c r="N51" s="323"/>
      <c r="O51" s="323"/>
      <c r="P51" s="73"/>
    </row>
    <row r="52" spans="1:16" ht="22.15" customHeight="1" x14ac:dyDescent="0.25">
      <c r="A52" s="294" t="s">
        <v>23</v>
      </c>
      <c r="B52" s="294"/>
      <c r="C52" s="294"/>
      <c r="D52" s="294"/>
      <c r="E52" s="294"/>
      <c r="F52" s="294"/>
      <c r="G52" s="294"/>
      <c r="H52" s="294"/>
      <c r="I52" s="294"/>
      <c r="J52" s="294"/>
      <c r="K52" s="294"/>
      <c r="L52" s="294"/>
      <c r="M52" s="294"/>
      <c r="N52" s="294"/>
      <c r="O52" s="294"/>
      <c r="P52" s="73"/>
    </row>
    <row r="53" spans="1:16" ht="9.9499999999999993" customHeight="1" x14ac:dyDescent="0.3">
      <c r="A53" s="323"/>
      <c r="B53" s="323"/>
      <c r="C53" s="323"/>
      <c r="D53" s="323"/>
      <c r="E53" s="323"/>
      <c r="F53" s="323"/>
      <c r="G53" s="323"/>
      <c r="H53" s="323"/>
      <c r="I53" s="323"/>
      <c r="J53" s="323"/>
      <c r="K53" s="323"/>
      <c r="L53" s="323"/>
      <c r="M53" s="323"/>
      <c r="N53" s="323"/>
      <c r="O53" s="323"/>
      <c r="P53" s="73"/>
    </row>
    <row r="54" spans="1:16" x14ac:dyDescent="0.25">
      <c r="A54" s="301"/>
      <c r="B54" s="302"/>
      <c r="C54" s="302"/>
      <c r="D54" s="302"/>
      <c r="E54" s="302"/>
      <c r="F54" s="302"/>
      <c r="G54" s="302"/>
      <c r="H54" s="302"/>
      <c r="I54" s="302"/>
      <c r="J54" s="302"/>
      <c r="K54" s="302"/>
      <c r="L54" s="302"/>
      <c r="M54" s="302"/>
      <c r="N54" s="302"/>
      <c r="O54" s="303"/>
      <c r="P54" s="73"/>
    </row>
    <row r="55" spans="1:16" x14ac:dyDescent="0.25">
      <c r="A55" s="304"/>
      <c r="B55" s="305"/>
      <c r="C55" s="305"/>
      <c r="D55" s="305"/>
      <c r="E55" s="305"/>
      <c r="F55" s="305"/>
      <c r="G55" s="305"/>
      <c r="H55" s="305"/>
      <c r="I55" s="305"/>
      <c r="J55" s="305"/>
      <c r="K55" s="305"/>
      <c r="L55" s="305"/>
      <c r="M55" s="305"/>
      <c r="N55" s="305"/>
      <c r="O55" s="306"/>
      <c r="P55" s="73"/>
    </row>
    <row r="56" spans="1:16" x14ac:dyDescent="0.25">
      <c r="A56" s="304"/>
      <c r="B56" s="305"/>
      <c r="C56" s="305"/>
      <c r="D56" s="305"/>
      <c r="E56" s="305"/>
      <c r="F56" s="305"/>
      <c r="G56" s="305"/>
      <c r="H56" s="305"/>
      <c r="I56" s="305"/>
      <c r="J56" s="305"/>
      <c r="K56" s="305"/>
      <c r="L56" s="305"/>
      <c r="M56" s="305"/>
      <c r="N56" s="305"/>
      <c r="O56" s="306"/>
      <c r="P56" s="73"/>
    </row>
    <row r="57" spans="1:16" x14ac:dyDescent="0.25">
      <c r="A57" s="304"/>
      <c r="B57" s="305"/>
      <c r="C57" s="305"/>
      <c r="D57" s="305"/>
      <c r="E57" s="305"/>
      <c r="F57" s="305"/>
      <c r="G57" s="305"/>
      <c r="H57" s="305"/>
      <c r="I57" s="305"/>
      <c r="J57" s="305"/>
      <c r="K57" s="305"/>
      <c r="L57" s="305"/>
      <c r="M57" s="305"/>
      <c r="N57" s="305"/>
      <c r="O57" s="306"/>
      <c r="P57" s="73"/>
    </row>
    <row r="58" spans="1:16" x14ac:dyDescent="0.25">
      <c r="A58" s="304"/>
      <c r="B58" s="305"/>
      <c r="C58" s="305"/>
      <c r="D58" s="305"/>
      <c r="E58" s="305"/>
      <c r="F58" s="305"/>
      <c r="G58" s="305"/>
      <c r="H58" s="305"/>
      <c r="I58" s="305"/>
      <c r="J58" s="305"/>
      <c r="K58" s="305"/>
      <c r="L58" s="305"/>
      <c r="M58" s="305"/>
      <c r="N58" s="305"/>
      <c r="O58" s="306"/>
      <c r="P58" s="73"/>
    </row>
    <row r="59" spans="1:16" x14ac:dyDescent="0.25">
      <c r="A59" s="304"/>
      <c r="B59" s="305"/>
      <c r="C59" s="305"/>
      <c r="D59" s="305"/>
      <c r="E59" s="305"/>
      <c r="F59" s="305"/>
      <c r="G59" s="305"/>
      <c r="H59" s="305"/>
      <c r="I59" s="305"/>
      <c r="J59" s="305"/>
      <c r="K59" s="305"/>
      <c r="L59" s="305"/>
      <c r="M59" s="305"/>
      <c r="N59" s="305"/>
      <c r="O59" s="306"/>
      <c r="P59" s="73"/>
    </row>
    <row r="60" spans="1:16" x14ac:dyDescent="0.25">
      <c r="A60" s="304"/>
      <c r="B60" s="305"/>
      <c r="C60" s="305"/>
      <c r="D60" s="305"/>
      <c r="E60" s="305"/>
      <c r="F60" s="305"/>
      <c r="G60" s="305"/>
      <c r="H60" s="305"/>
      <c r="I60" s="305"/>
      <c r="J60" s="305"/>
      <c r="K60" s="305"/>
      <c r="L60" s="305"/>
      <c r="M60" s="305"/>
      <c r="N60" s="305"/>
      <c r="O60" s="306"/>
      <c r="P60" s="73"/>
    </row>
    <row r="61" spans="1:16" x14ac:dyDescent="0.25">
      <c r="A61" s="304"/>
      <c r="B61" s="305"/>
      <c r="C61" s="305"/>
      <c r="D61" s="305"/>
      <c r="E61" s="305"/>
      <c r="F61" s="305"/>
      <c r="G61" s="305"/>
      <c r="H61" s="305"/>
      <c r="I61" s="305"/>
      <c r="J61" s="305"/>
      <c r="K61" s="305"/>
      <c r="L61" s="305"/>
      <c r="M61" s="305"/>
      <c r="N61" s="305"/>
      <c r="O61" s="306"/>
      <c r="P61" s="73"/>
    </row>
    <row r="62" spans="1:16" x14ac:dyDescent="0.25">
      <c r="A62" s="304"/>
      <c r="B62" s="305"/>
      <c r="C62" s="305"/>
      <c r="D62" s="305"/>
      <c r="E62" s="305"/>
      <c r="F62" s="305"/>
      <c r="G62" s="305"/>
      <c r="H62" s="305"/>
      <c r="I62" s="305"/>
      <c r="J62" s="305"/>
      <c r="K62" s="305"/>
      <c r="L62" s="305"/>
      <c r="M62" s="305"/>
      <c r="N62" s="305"/>
      <c r="O62" s="306"/>
      <c r="P62" s="73"/>
    </row>
    <row r="63" spans="1:16" x14ac:dyDescent="0.25">
      <c r="A63" s="304"/>
      <c r="B63" s="305"/>
      <c r="C63" s="305"/>
      <c r="D63" s="305"/>
      <c r="E63" s="305"/>
      <c r="F63" s="305"/>
      <c r="G63" s="305"/>
      <c r="H63" s="305"/>
      <c r="I63" s="305"/>
      <c r="J63" s="305"/>
      <c r="K63" s="305"/>
      <c r="L63" s="305"/>
      <c r="M63" s="305"/>
      <c r="N63" s="305"/>
      <c r="O63" s="306"/>
      <c r="P63" s="73"/>
    </row>
    <row r="64" spans="1:16" x14ac:dyDescent="0.25">
      <c r="A64" s="304"/>
      <c r="B64" s="305"/>
      <c r="C64" s="305"/>
      <c r="D64" s="305"/>
      <c r="E64" s="305"/>
      <c r="F64" s="305"/>
      <c r="G64" s="305"/>
      <c r="H64" s="305"/>
      <c r="I64" s="305"/>
      <c r="J64" s="305"/>
      <c r="K64" s="305"/>
      <c r="L64" s="305"/>
      <c r="M64" s="305"/>
      <c r="N64" s="305"/>
      <c r="O64" s="306"/>
      <c r="P64" s="73"/>
    </row>
    <row r="65" spans="1:16" x14ac:dyDescent="0.25">
      <c r="A65" s="304"/>
      <c r="B65" s="305"/>
      <c r="C65" s="305"/>
      <c r="D65" s="305"/>
      <c r="E65" s="305"/>
      <c r="F65" s="305"/>
      <c r="G65" s="305"/>
      <c r="H65" s="305"/>
      <c r="I65" s="305"/>
      <c r="J65" s="305"/>
      <c r="K65" s="305"/>
      <c r="L65" s="305"/>
      <c r="M65" s="305"/>
      <c r="N65" s="305"/>
      <c r="O65" s="306"/>
      <c r="P65" s="73"/>
    </row>
    <row r="66" spans="1:16" x14ac:dyDescent="0.25">
      <c r="A66" s="304"/>
      <c r="B66" s="305"/>
      <c r="C66" s="305"/>
      <c r="D66" s="305"/>
      <c r="E66" s="305"/>
      <c r="F66" s="305"/>
      <c r="G66" s="305"/>
      <c r="H66" s="305"/>
      <c r="I66" s="305"/>
      <c r="J66" s="305"/>
      <c r="K66" s="305"/>
      <c r="L66" s="305"/>
      <c r="M66" s="305"/>
      <c r="N66" s="305"/>
      <c r="O66" s="306"/>
      <c r="P66" s="73"/>
    </row>
    <row r="67" spans="1:16" x14ac:dyDescent="0.25">
      <c r="A67" s="304"/>
      <c r="B67" s="305"/>
      <c r="C67" s="305"/>
      <c r="D67" s="305"/>
      <c r="E67" s="305"/>
      <c r="F67" s="305"/>
      <c r="G67" s="305"/>
      <c r="H67" s="305"/>
      <c r="I67" s="305"/>
      <c r="J67" s="305"/>
      <c r="K67" s="305"/>
      <c r="L67" s="305"/>
      <c r="M67" s="305"/>
      <c r="N67" s="305"/>
      <c r="O67" s="306"/>
      <c r="P67" s="73"/>
    </row>
    <row r="68" spans="1:16" x14ac:dyDescent="0.25">
      <c r="A68" s="304"/>
      <c r="B68" s="305"/>
      <c r="C68" s="305"/>
      <c r="D68" s="305"/>
      <c r="E68" s="305"/>
      <c r="F68" s="305"/>
      <c r="G68" s="305"/>
      <c r="H68" s="305"/>
      <c r="I68" s="305"/>
      <c r="J68" s="305"/>
      <c r="K68" s="305"/>
      <c r="L68" s="305"/>
      <c r="M68" s="305"/>
      <c r="N68" s="305"/>
      <c r="O68" s="306"/>
      <c r="P68" s="73"/>
    </row>
    <row r="69" spans="1:16" x14ac:dyDescent="0.25">
      <c r="A69" s="304"/>
      <c r="B69" s="305"/>
      <c r="C69" s="305"/>
      <c r="D69" s="305"/>
      <c r="E69" s="305"/>
      <c r="F69" s="305"/>
      <c r="G69" s="305"/>
      <c r="H69" s="305"/>
      <c r="I69" s="305"/>
      <c r="J69" s="305"/>
      <c r="K69" s="305"/>
      <c r="L69" s="305"/>
      <c r="M69" s="305"/>
      <c r="N69" s="305"/>
      <c r="O69" s="306"/>
      <c r="P69" s="73"/>
    </row>
    <row r="70" spans="1:16" x14ac:dyDescent="0.25">
      <c r="A70" s="304"/>
      <c r="B70" s="305"/>
      <c r="C70" s="305"/>
      <c r="D70" s="305"/>
      <c r="E70" s="305"/>
      <c r="F70" s="305"/>
      <c r="G70" s="305"/>
      <c r="H70" s="305"/>
      <c r="I70" s="305"/>
      <c r="J70" s="305"/>
      <c r="K70" s="305"/>
      <c r="L70" s="305"/>
      <c r="M70" s="305"/>
      <c r="N70" s="305"/>
      <c r="O70" s="306"/>
      <c r="P70" s="73"/>
    </row>
    <row r="71" spans="1:16" x14ac:dyDescent="0.25">
      <c r="A71" s="304"/>
      <c r="B71" s="305"/>
      <c r="C71" s="305"/>
      <c r="D71" s="305"/>
      <c r="E71" s="305"/>
      <c r="F71" s="305"/>
      <c r="G71" s="305"/>
      <c r="H71" s="305"/>
      <c r="I71" s="305"/>
      <c r="J71" s="305"/>
      <c r="K71" s="305"/>
      <c r="L71" s="305"/>
      <c r="M71" s="305"/>
      <c r="N71" s="305"/>
      <c r="O71" s="306"/>
      <c r="P71" s="73"/>
    </row>
    <row r="72" spans="1:16" x14ac:dyDescent="0.25">
      <c r="A72" s="307"/>
      <c r="B72" s="308"/>
      <c r="C72" s="308"/>
      <c r="D72" s="308"/>
      <c r="E72" s="308"/>
      <c r="F72" s="308"/>
      <c r="G72" s="308"/>
      <c r="H72" s="308"/>
      <c r="I72" s="308"/>
      <c r="J72" s="308"/>
      <c r="K72" s="308"/>
      <c r="L72" s="308"/>
      <c r="M72" s="308"/>
      <c r="N72" s="308"/>
      <c r="O72" s="309"/>
      <c r="P72" s="73"/>
    </row>
    <row r="73" spans="1:16" ht="10.15" customHeight="1" x14ac:dyDescent="0.3">
      <c r="A73" s="323"/>
      <c r="B73" s="323"/>
      <c r="C73" s="323"/>
      <c r="D73" s="323"/>
      <c r="E73" s="323"/>
      <c r="F73" s="323"/>
      <c r="G73" s="323"/>
      <c r="H73" s="323"/>
      <c r="I73" s="323"/>
      <c r="J73" s="323"/>
      <c r="K73" s="323"/>
      <c r="L73" s="323"/>
      <c r="M73" s="323"/>
      <c r="N73" s="323"/>
      <c r="O73" s="323"/>
      <c r="P73" s="73"/>
    </row>
    <row r="74" spans="1:16" ht="20.25" x14ac:dyDescent="0.25">
      <c r="A74" s="294" t="s">
        <v>24</v>
      </c>
      <c r="B74" s="294"/>
      <c r="C74" s="294"/>
      <c r="D74" s="294"/>
      <c r="E74" s="294"/>
      <c r="F74" s="294"/>
      <c r="G74" s="294"/>
      <c r="H74" s="294"/>
      <c r="I74" s="294"/>
      <c r="J74" s="294"/>
      <c r="K74" s="294"/>
      <c r="L74" s="294"/>
      <c r="M74" s="294"/>
      <c r="N74" s="294"/>
      <c r="O74" s="294"/>
      <c r="P74" s="73"/>
    </row>
    <row r="75" spans="1:16" ht="10.15" customHeight="1" x14ac:dyDescent="0.3">
      <c r="A75" s="323"/>
      <c r="B75" s="323"/>
      <c r="C75" s="323"/>
      <c r="D75" s="323"/>
      <c r="E75" s="323"/>
      <c r="F75" s="323"/>
      <c r="G75" s="323"/>
      <c r="H75" s="323"/>
      <c r="I75" s="323"/>
      <c r="J75" s="323"/>
      <c r="K75" s="323"/>
      <c r="L75" s="323"/>
      <c r="M75" s="323"/>
      <c r="N75" s="323"/>
      <c r="O75" s="323"/>
      <c r="P75" s="73"/>
    </row>
    <row r="76" spans="1:16" ht="15.6" hidden="1" customHeight="1" thickBot="1" x14ac:dyDescent="0.3">
      <c r="A76" s="72"/>
      <c r="B76" s="331"/>
      <c r="C76" s="331"/>
      <c r="D76" s="331"/>
      <c r="E76" s="331"/>
      <c r="F76" s="331"/>
      <c r="G76" s="331"/>
      <c r="H76" s="331"/>
      <c r="I76" s="331"/>
      <c r="J76" s="331"/>
      <c r="K76" s="331"/>
      <c r="L76" s="331"/>
      <c r="M76" s="331"/>
      <c r="N76" s="331"/>
      <c r="O76" s="70"/>
      <c r="P76" s="73"/>
    </row>
    <row r="77" spans="1:16" ht="15.6" hidden="1" customHeight="1" thickBot="1" x14ac:dyDescent="0.3">
      <c r="A77" s="330"/>
      <c r="B77" s="330"/>
      <c r="C77" s="330"/>
      <c r="D77" s="330"/>
      <c r="E77" s="330"/>
      <c r="F77" s="330"/>
      <c r="G77" s="330"/>
      <c r="H77" s="330"/>
      <c r="I77" s="330"/>
      <c r="J77" s="330"/>
      <c r="K77" s="330"/>
      <c r="L77" s="330"/>
      <c r="M77" s="330"/>
      <c r="N77" s="330"/>
      <c r="O77" s="70"/>
      <c r="P77" s="73"/>
    </row>
    <row r="78" spans="1:16" ht="15.6" customHeight="1" x14ac:dyDescent="0.25">
      <c r="A78" s="72" t="s">
        <v>25</v>
      </c>
      <c r="B78" s="331" t="s">
        <v>82</v>
      </c>
      <c r="C78" s="331"/>
      <c r="D78" s="331"/>
      <c r="E78" s="331"/>
      <c r="F78" s="331"/>
      <c r="G78" s="331"/>
      <c r="H78" s="331"/>
      <c r="I78" s="331"/>
      <c r="J78" s="331"/>
      <c r="K78" s="331"/>
      <c r="L78" s="331"/>
      <c r="M78" s="331"/>
      <c r="N78" s="331"/>
      <c r="O78" s="331"/>
      <c r="P78" s="73"/>
    </row>
    <row r="79" spans="1:16" ht="15.6" customHeight="1" x14ac:dyDescent="0.25">
      <c r="A79" s="330"/>
      <c r="B79" s="330"/>
      <c r="C79" s="330"/>
      <c r="D79" s="330"/>
      <c r="E79" s="330"/>
      <c r="F79" s="330"/>
      <c r="G79" s="330"/>
      <c r="H79" s="330"/>
      <c r="I79" s="330"/>
      <c r="J79" s="330"/>
      <c r="K79" s="330"/>
      <c r="L79" s="330"/>
      <c r="M79" s="330"/>
      <c r="N79" s="330"/>
      <c r="O79" s="330"/>
      <c r="P79" s="73"/>
    </row>
    <row r="80" spans="1:16" ht="15.6" customHeight="1" x14ac:dyDescent="0.25">
      <c r="A80" s="72" t="s">
        <v>26</v>
      </c>
      <c r="B80" s="331"/>
      <c r="C80" s="331"/>
      <c r="D80" s="331"/>
      <c r="E80" s="331"/>
      <c r="F80" s="331"/>
      <c r="G80" s="331"/>
      <c r="H80" s="331"/>
      <c r="I80" s="331"/>
      <c r="J80" s="331"/>
      <c r="K80" s="331"/>
      <c r="L80" s="331"/>
      <c r="M80" s="331"/>
      <c r="N80" s="331"/>
      <c r="O80" s="331"/>
      <c r="P80" s="73"/>
    </row>
    <row r="81" spans="1:16" ht="15.6" customHeight="1" x14ac:dyDescent="0.25">
      <c r="A81" s="330"/>
      <c r="B81" s="330"/>
      <c r="C81" s="330"/>
      <c r="D81" s="330"/>
      <c r="E81" s="330"/>
      <c r="F81" s="330"/>
      <c r="G81" s="330"/>
      <c r="H81" s="330"/>
      <c r="I81" s="330"/>
      <c r="J81" s="330"/>
      <c r="K81" s="330"/>
      <c r="L81" s="330"/>
      <c r="M81" s="330"/>
      <c r="N81" s="330"/>
      <c r="O81" s="330"/>
      <c r="P81" s="73"/>
    </row>
    <row r="82" spans="1:16" ht="15.6" customHeight="1" x14ac:dyDescent="0.25">
      <c r="A82" s="72" t="s">
        <v>27</v>
      </c>
      <c r="B82" s="330"/>
      <c r="C82" s="330"/>
      <c r="D82" s="330"/>
      <c r="E82" s="330"/>
      <c r="F82" s="330"/>
      <c r="G82" s="330"/>
      <c r="H82" s="330"/>
      <c r="I82" s="330"/>
      <c r="J82" s="330"/>
      <c r="K82" s="330"/>
      <c r="L82" s="330"/>
      <c r="M82" s="330"/>
      <c r="N82" s="330"/>
      <c r="O82" s="330"/>
      <c r="P82" s="73"/>
    </row>
    <row r="83" spans="1:16" ht="15.6" hidden="1" customHeight="1" thickBot="1" x14ac:dyDescent="0.3">
      <c r="A83" s="330"/>
      <c r="B83" s="330"/>
      <c r="C83" s="330"/>
      <c r="D83" s="330"/>
      <c r="E83" s="330"/>
      <c r="F83" s="330"/>
      <c r="G83" s="330"/>
      <c r="H83" s="330"/>
      <c r="I83" s="330"/>
      <c r="J83" s="330"/>
      <c r="K83" s="330"/>
      <c r="L83" s="330"/>
      <c r="M83" s="330"/>
      <c r="N83" s="330"/>
      <c r="O83" s="70"/>
      <c r="P83" s="73"/>
    </row>
    <row r="84" spans="1:16" ht="15.6" hidden="1" customHeight="1" thickBot="1" x14ac:dyDescent="0.3">
      <c r="A84" s="72"/>
      <c r="B84" s="331"/>
      <c r="C84" s="331"/>
      <c r="D84" s="331"/>
      <c r="E84" s="331"/>
      <c r="F84" s="331"/>
      <c r="G84" s="331"/>
      <c r="H84" s="331"/>
      <c r="I84" s="331"/>
      <c r="J84" s="331"/>
      <c r="K84" s="331"/>
      <c r="L84" s="331"/>
      <c r="M84" s="331"/>
      <c r="N84" s="331"/>
      <c r="O84" s="70"/>
      <c r="P84" s="73"/>
    </row>
    <row r="85" spans="1:16" ht="10.15" customHeight="1" x14ac:dyDescent="0.25">
      <c r="A85" s="318"/>
      <c r="B85" s="318"/>
      <c r="C85" s="318"/>
      <c r="D85" s="318"/>
      <c r="E85" s="318"/>
      <c r="F85" s="318"/>
      <c r="G85" s="318"/>
      <c r="H85" s="318"/>
      <c r="I85" s="318"/>
      <c r="J85" s="318"/>
      <c r="K85" s="318"/>
      <c r="L85" s="318"/>
      <c r="M85" s="318"/>
      <c r="N85" s="318"/>
      <c r="O85" s="318"/>
      <c r="P85" s="73"/>
    </row>
  </sheetData>
  <mergeCells count="65">
    <mergeCell ref="A30:O30"/>
    <mergeCell ref="A31:O34"/>
    <mergeCell ref="A35:O35"/>
    <mergeCell ref="A36:O36"/>
    <mergeCell ref="J14:J15"/>
    <mergeCell ref="K14:K28"/>
    <mergeCell ref="L14:L15"/>
    <mergeCell ref="M14:M28"/>
    <mergeCell ref="A29:O29"/>
    <mergeCell ref="B14:C14"/>
    <mergeCell ref="D14:H14"/>
    <mergeCell ref="A28:C28"/>
    <mergeCell ref="I14:I28"/>
    <mergeCell ref="A83:N83"/>
    <mergeCell ref="B84:N84"/>
    <mergeCell ref="B80:O80"/>
    <mergeCell ref="A81:O81"/>
    <mergeCell ref="A38:O38"/>
    <mergeCell ref="A51:O51"/>
    <mergeCell ref="A52:O52"/>
    <mergeCell ref="A53:O53"/>
    <mergeCell ref="B82:O82"/>
    <mergeCell ref="B76:N76"/>
    <mergeCell ref="A77:N77"/>
    <mergeCell ref="B78:O78"/>
    <mergeCell ref="A79:O79"/>
    <mergeCell ref="A1:O4"/>
    <mergeCell ref="A5:O5"/>
    <mergeCell ref="A7:O7"/>
    <mergeCell ref="A6:O6"/>
    <mergeCell ref="A8:O8"/>
    <mergeCell ref="A9:O9"/>
    <mergeCell ref="A10:O10"/>
    <mergeCell ref="A11:O11"/>
    <mergeCell ref="A12:O12"/>
    <mergeCell ref="A13:O13"/>
    <mergeCell ref="A85:O85"/>
    <mergeCell ref="D41:E41"/>
    <mergeCell ref="D43:E43"/>
    <mergeCell ref="D45:E45"/>
    <mergeCell ref="D49:E49"/>
    <mergeCell ref="K43:L43"/>
    <mergeCell ref="K45:L45"/>
    <mergeCell ref="K49:L49"/>
    <mergeCell ref="K41:L41"/>
    <mergeCell ref="A73:O73"/>
    <mergeCell ref="A74:O74"/>
    <mergeCell ref="A75:O75"/>
    <mergeCell ref="A42:O42"/>
    <mergeCell ref="A44:O44"/>
    <mergeCell ref="A46:O46"/>
    <mergeCell ref="A41:C41"/>
    <mergeCell ref="A37:O37"/>
    <mergeCell ref="H45:J45"/>
    <mergeCell ref="H49:J49"/>
    <mergeCell ref="A54:O72"/>
    <mergeCell ref="A50:O50"/>
    <mergeCell ref="A49:C49"/>
    <mergeCell ref="H41:J41"/>
    <mergeCell ref="H43:J43"/>
    <mergeCell ref="A39:D39"/>
    <mergeCell ref="M39:O39"/>
    <mergeCell ref="A40:O40"/>
    <mergeCell ref="A43:C43"/>
    <mergeCell ref="A45:C45"/>
  </mergeCells>
  <printOptions horizontalCentered="1" verticalCentered="1"/>
  <pageMargins left="0.59055118110236227" right="0.59055118110236227" top="0.59055118110236227" bottom="0.39370078740157483" header="0.19685039370078741" footer="0.31496062992125984"/>
  <pageSetup paperSize="9" scale="77" fitToHeight="0" orientation="landscape" r:id="rId1"/>
  <rowBreaks count="1" manualBreakCount="1">
    <brk id="30" max="1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6</vt:i4>
      </vt:variant>
      <vt:variant>
        <vt:lpstr>Intervalos Nomeados</vt:lpstr>
      </vt:variant>
      <vt:variant>
        <vt:i4>1</vt:i4>
      </vt:variant>
    </vt:vector>
  </HeadingPairs>
  <TitlesOfParts>
    <vt:vector size="7" baseType="lpstr">
      <vt:lpstr>TABELAS</vt:lpstr>
      <vt:lpstr>RBT</vt:lpstr>
      <vt:lpstr>SN industria</vt:lpstr>
      <vt:lpstr>SN comercio</vt:lpstr>
      <vt:lpstr>SN Serviço</vt:lpstr>
      <vt:lpstr>PLANEJAMENTO</vt:lpstr>
      <vt:lpstr>PLANEJAMENTO!Area_de_impressao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Lucio Canedo</dc:creator>
  <cp:lastModifiedBy>Victor Gabriell</cp:lastModifiedBy>
  <cp:lastPrinted>2023-01-06T14:03:37Z</cp:lastPrinted>
  <dcterms:created xsi:type="dcterms:W3CDTF">2022-08-24T13:07:55Z</dcterms:created>
  <dcterms:modified xsi:type="dcterms:W3CDTF">2024-02-01T16:23:00Z</dcterms:modified>
</cp:coreProperties>
</file>